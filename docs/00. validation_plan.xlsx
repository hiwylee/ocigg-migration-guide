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/>
  <mc:AlternateContent xmlns:mc="http://schemas.openxmlformats.org/markup-compatibility/2006">
    <mc:Choice Requires="x15">
      <x15ac:absPath xmlns:x15ac="http://schemas.microsoft.com/office/spreadsheetml/2010/11/ac" url="https://youngwoocokr-my.sharepoint.com/personal/wonyong_lee_etevers_com/Documents/Shared/Customers/CRScube/Plan_FY26/"/>
    </mc:Choice>
  </mc:AlternateContent>
  <xr:revisionPtr revIDLastSave="4" documentId="8_{3DF29EC2-DFFC-8C42-9162-8689B1C210B3}" xr6:coauthVersionLast="47" xr6:coauthVersionMax="47" xr10:uidLastSave="{88A7F7A3-0326-F441-9902-A53EF216DAB0}"/>
  <bookViews>
    <workbookView xWindow="0" yWindow="680" windowWidth="29400" windowHeight="18460" tabRatio="500" activeTab="1" xr2:uid="{00000000-000D-0000-FFFF-FFFF00000000}"/>
  </bookViews>
  <sheets>
    <sheet name="📋 Cover" sheetId="1" r:id="rId1"/>
    <sheet name="01_GG_Process" sheetId="2" r:id="rId2"/>
    <sheet name="02_Static_Schema" sheetId="3" r:id="rId3"/>
    <sheet name="03_Data_Validation" sheetId="4" r:id="rId4"/>
    <sheet name="04_Special_Objects" sheetId="5" r:id="rId5"/>
    <sheet name="05_Migration_Caution" sheetId="6" r:id="rId6"/>
    <sheet name="06_Result_Dashboard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9" i="7" l="1"/>
  <c r="F8" i="7"/>
  <c r="E8" i="7"/>
  <c r="G8" i="7" s="1"/>
  <c r="D8" i="7"/>
  <c r="F7" i="7"/>
  <c r="E7" i="7"/>
  <c r="G7" i="7" s="1"/>
  <c r="D7" i="7"/>
  <c r="F6" i="7"/>
  <c r="E6" i="7"/>
  <c r="G6" i="7" s="1"/>
  <c r="D6" i="7"/>
  <c r="F5" i="7"/>
  <c r="E5" i="7"/>
  <c r="D5" i="7"/>
  <c r="D9" i="7" l="1"/>
  <c r="E9" i="7"/>
  <c r="F9" i="7"/>
  <c r="G5" i="7"/>
  <c r="G9" i="7" l="1"/>
</calcChain>
</file>

<file path=xl/sharedStrings.xml><?xml version="1.0" encoding="utf-8"?>
<sst xmlns="http://schemas.openxmlformats.org/spreadsheetml/2006/main" count="1003" uniqueCount="429">
  <si>
    <r>
      <rPr>
        <b/>
        <sz val="22"/>
        <color rgb="FFFFFFFF"/>
        <rFont val="Arial"/>
        <family val="2"/>
      </rPr>
      <t xml:space="preserve">Oracle SE + OCI GoldenGate
DB </t>
    </r>
    <r>
      <rPr>
        <b/>
        <sz val="22"/>
        <color rgb="FFFFFFFF"/>
        <rFont val="Noto Sans CJK SC"/>
        <family val="2"/>
      </rPr>
      <t>정합성 검증 계획서</t>
    </r>
  </si>
  <si>
    <t>Source: Oracle SE (RDS/AWS Tokyo)  →  Target: Oracle SE (OCI Tokyo)  |  Tool: OCI GoldenGate Cloud</t>
  </si>
  <si>
    <t>문서 버전</t>
  </si>
  <si>
    <t>v1.0</t>
  </si>
  <si>
    <t>2026-03-13</t>
  </si>
  <si>
    <t>■  검증 영역 범례</t>
  </si>
  <si>
    <r>
      <rPr>
        <b/>
        <sz val="10"/>
        <color rgb="FF000000"/>
        <rFont val="Noto Sans CJK SC"/>
        <family val="2"/>
      </rPr>
      <t xml:space="preserve">정적 구조 검증 </t>
    </r>
    <r>
      <rPr>
        <b/>
        <sz val="10"/>
        <color rgb="FF000000"/>
        <rFont val="Arial"/>
        <family val="2"/>
      </rPr>
      <t>(Static Schema)</t>
    </r>
  </si>
  <si>
    <r>
      <rPr>
        <sz val="10"/>
        <color rgb="FF000000"/>
        <rFont val="Noto Sans CJK SC"/>
        <family val="2"/>
      </rPr>
      <t>스키마</t>
    </r>
    <r>
      <rPr>
        <sz val="10"/>
        <color rgb="FF000000"/>
        <rFont val="Arial"/>
        <family val="2"/>
      </rPr>
      <t xml:space="preserve">, </t>
    </r>
    <r>
      <rPr>
        <sz val="10"/>
        <color rgb="FF000000"/>
        <rFont val="Noto Sans CJK SC"/>
        <family val="2"/>
      </rPr>
      <t>객체</t>
    </r>
    <r>
      <rPr>
        <sz val="10"/>
        <color rgb="FF000000"/>
        <rFont val="Arial"/>
        <family val="2"/>
      </rPr>
      <t xml:space="preserve">, DDL </t>
    </r>
    <r>
      <rPr>
        <sz val="10"/>
        <color rgb="FF000000"/>
        <rFont val="Noto Sans CJK SC"/>
        <family val="2"/>
      </rPr>
      <t>구조 비교</t>
    </r>
  </si>
  <si>
    <r>
      <rPr>
        <b/>
        <sz val="10"/>
        <color rgb="FF000000"/>
        <rFont val="Noto Sans CJK SC"/>
        <family val="2"/>
      </rPr>
      <t xml:space="preserve">데이터 정합성 </t>
    </r>
    <r>
      <rPr>
        <b/>
        <sz val="10"/>
        <color rgb="FF000000"/>
        <rFont val="Arial"/>
        <family val="2"/>
      </rPr>
      <t>(Data Validation)</t>
    </r>
  </si>
  <si>
    <r>
      <rPr>
        <sz val="10"/>
        <color rgb="FF000000"/>
        <rFont val="Arial"/>
        <family val="2"/>
      </rPr>
      <t xml:space="preserve">Row Count, Checksum, </t>
    </r>
    <r>
      <rPr>
        <sz val="10"/>
        <color rgb="FF000000"/>
        <rFont val="Noto Sans CJK SC"/>
        <family val="2"/>
      </rPr>
      <t>샘플 비교</t>
    </r>
  </si>
  <si>
    <r>
      <rPr>
        <b/>
        <sz val="10"/>
        <color rgb="FF000000"/>
        <rFont val="Arial"/>
        <family val="2"/>
      </rPr>
      <t xml:space="preserve">LAG / </t>
    </r>
    <r>
      <rPr>
        <b/>
        <sz val="10"/>
        <color rgb="FF000000"/>
        <rFont val="Noto Sans CJK SC"/>
        <family val="2"/>
      </rPr>
      <t xml:space="preserve">프로세스 </t>
    </r>
    <r>
      <rPr>
        <b/>
        <sz val="10"/>
        <color rgb="FF000000"/>
        <rFont val="Arial"/>
        <family val="2"/>
      </rPr>
      <t>(GG Process)</t>
    </r>
  </si>
  <si>
    <r>
      <rPr>
        <sz val="10"/>
        <color rgb="FF000000"/>
        <rFont val="Arial"/>
        <family val="2"/>
      </rPr>
      <t xml:space="preserve">Extract·Replicat LAG, Trail </t>
    </r>
    <r>
      <rPr>
        <sz val="10"/>
        <color rgb="FF000000"/>
        <rFont val="Noto Sans CJK SC"/>
        <family val="2"/>
      </rPr>
      <t>상태</t>
    </r>
  </si>
  <si>
    <r>
      <rPr>
        <b/>
        <sz val="10"/>
        <color rgb="FF000000"/>
        <rFont val="Noto Sans CJK SC"/>
        <family val="2"/>
      </rPr>
      <t xml:space="preserve">사전 확인 </t>
    </r>
    <r>
      <rPr>
        <b/>
        <sz val="10"/>
        <color rgb="FF000000"/>
        <rFont val="Arial"/>
        <family val="2"/>
      </rPr>
      <t>(Pre-Check)</t>
    </r>
  </si>
  <si>
    <r>
      <rPr>
        <sz val="10"/>
        <color rgb="FF000000"/>
        <rFont val="Noto Sans CJK SC"/>
        <family val="2"/>
      </rPr>
      <t>마이그레이션 전 소스</t>
    </r>
    <r>
      <rPr>
        <sz val="10"/>
        <color rgb="FF000000"/>
        <rFont val="Arial"/>
        <family val="2"/>
      </rPr>
      <t>/</t>
    </r>
    <r>
      <rPr>
        <sz val="10"/>
        <color rgb="FF000000"/>
        <rFont val="Noto Sans CJK SC"/>
        <family val="2"/>
      </rPr>
      <t>타겟</t>
    </r>
    <r>
      <rPr>
        <sz val="10"/>
        <color rgb="FF000000"/>
        <rFont val="Arial"/>
        <family val="2"/>
      </rPr>
      <t xml:space="preserve">/GG </t>
    </r>
    <r>
      <rPr>
        <sz val="10"/>
        <color rgb="FF000000"/>
        <rFont val="Noto Sans CJK SC"/>
        <family val="2"/>
      </rPr>
      <t>환경 점검</t>
    </r>
  </si>
  <si>
    <r>
      <rPr>
        <b/>
        <sz val="10"/>
        <color rgb="FF000000"/>
        <rFont val="Noto Sans CJK SC"/>
        <family val="2"/>
      </rPr>
      <t xml:space="preserve">주의사항 </t>
    </r>
    <r>
      <rPr>
        <b/>
        <sz val="10"/>
        <color rgb="FF000000"/>
        <rFont val="Arial"/>
        <family val="2"/>
      </rPr>
      <t>(Caution)</t>
    </r>
  </si>
  <si>
    <r>
      <rPr>
        <sz val="10"/>
        <color rgb="FF000000"/>
        <rFont val="Arial"/>
        <family val="2"/>
      </rPr>
      <t xml:space="preserve">SE </t>
    </r>
    <r>
      <rPr>
        <sz val="10"/>
        <color rgb="FF000000"/>
        <rFont val="Noto Sans CJK SC"/>
        <family val="2"/>
      </rPr>
      <t>제약</t>
    </r>
    <r>
      <rPr>
        <sz val="10"/>
        <color rgb="FF000000"/>
        <rFont val="Arial"/>
        <family val="2"/>
      </rPr>
      <t xml:space="preserve">, OCI GG </t>
    </r>
    <r>
      <rPr>
        <sz val="10"/>
        <color rgb="FF000000"/>
        <rFont val="Noto Sans CJK SC"/>
        <family val="2"/>
      </rPr>
      <t>특이사항</t>
    </r>
    <r>
      <rPr>
        <sz val="10"/>
        <color rgb="FF000000"/>
        <rFont val="Arial"/>
        <family val="2"/>
      </rPr>
      <t xml:space="preserve">, </t>
    </r>
    <r>
      <rPr>
        <sz val="10"/>
        <color rgb="FF000000"/>
        <rFont val="Noto Sans CJK SC"/>
        <family val="2"/>
      </rPr>
      <t>상시운영 포인트</t>
    </r>
  </si>
  <si>
    <r>
      <rPr>
        <b/>
        <sz val="12"/>
        <color rgb="FF000000"/>
        <rFont val="Noto Sans CJK SC"/>
        <family val="2"/>
      </rPr>
      <t xml:space="preserve">■  중요도 </t>
    </r>
    <r>
      <rPr>
        <b/>
        <sz val="12"/>
        <color rgb="FF000000"/>
        <rFont val="Arial"/>
        <family val="2"/>
      </rPr>
      <t xml:space="preserve">/ </t>
    </r>
    <r>
      <rPr>
        <b/>
        <sz val="12"/>
        <color rgb="FF000000"/>
        <rFont val="Noto Sans CJK SC"/>
        <family val="2"/>
      </rPr>
      <t>결과 범례</t>
    </r>
  </si>
  <si>
    <r>
      <rPr>
        <b/>
        <sz val="10"/>
        <color rgb="FFFFFFFF"/>
        <rFont val="Arial"/>
        <family val="2"/>
      </rPr>
      <t>[</t>
    </r>
    <r>
      <rPr>
        <b/>
        <sz val="10"/>
        <color rgb="FFFFFFFF"/>
        <rFont val="Noto Sans CJK SC"/>
        <family val="2"/>
      </rPr>
      <t>상</t>
    </r>
    <r>
      <rPr>
        <b/>
        <sz val="10"/>
        <color rgb="FFFFFFFF"/>
        <rFont val="Arial"/>
        <family val="2"/>
      </rPr>
      <t>] High</t>
    </r>
  </si>
  <si>
    <r>
      <rPr>
        <sz val="10"/>
        <color rgb="FF000000"/>
        <rFont val="Noto Sans CJK SC"/>
        <family val="2"/>
      </rPr>
      <t>즉시 조치 필요</t>
    </r>
    <r>
      <rPr>
        <sz val="10"/>
        <color rgb="FF000000"/>
        <rFont val="Arial"/>
        <family val="2"/>
      </rPr>
      <t xml:space="preserve">, Cut-over </t>
    </r>
    <r>
      <rPr>
        <sz val="10"/>
        <color rgb="FF000000"/>
        <rFont val="Noto Sans CJK SC"/>
        <family val="2"/>
      </rPr>
      <t>블로커</t>
    </r>
  </si>
  <si>
    <r>
      <rPr>
        <b/>
        <sz val="10"/>
        <color rgb="FFFFFFFF"/>
        <rFont val="Arial"/>
        <family val="2"/>
      </rPr>
      <t>[</t>
    </r>
    <r>
      <rPr>
        <b/>
        <sz val="10"/>
        <color rgb="FFFFFFFF"/>
        <rFont val="Noto Sans CJK SC"/>
        <family val="2"/>
      </rPr>
      <t>중</t>
    </r>
    <r>
      <rPr>
        <b/>
        <sz val="10"/>
        <color rgb="FFFFFFFF"/>
        <rFont val="Arial"/>
        <family val="2"/>
      </rPr>
      <t>] Medium</t>
    </r>
  </si>
  <si>
    <t>마이그레이션 전 해결 권장</t>
  </si>
  <si>
    <r>
      <rPr>
        <b/>
        <sz val="10"/>
        <color rgb="FFFFFFFF"/>
        <rFont val="Arial"/>
        <family val="2"/>
      </rPr>
      <t>[</t>
    </r>
    <r>
      <rPr>
        <b/>
        <sz val="10"/>
        <color rgb="FFFFFFFF"/>
        <rFont val="Noto Sans CJK SC"/>
        <family val="2"/>
      </rPr>
      <t>하</t>
    </r>
    <r>
      <rPr>
        <b/>
        <sz val="10"/>
        <color rgb="FFFFFFFF"/>
        <rFont val="Arial"/>
        <family val="2"/>
      </rPr>
      <t>] Low</t>
    </r>
  </si>
  <si>
    <t>운영 안정화 후 처리 가능</t>
  </si>
  <si>
    <t>PASS</t>
  </si>
  <si>
    <r>
      <rPr>
        <sz val="10"/>
        <color rgb="FF000000"/>
        <rFont val="Noto Sans CJK SC"/>
        <family val="2"/>
      </rPr>
      <t>소스</t>
    </r>
    <r>
      <rPr>
        <sz val="10"/>
        <color rgb="FF000000"/>
        <rFont val="Arial"/>
        <family val="2"/>
      </rPr>
      <t>/</t>
    </r>
    <r>
      <rPr>
        <sz val="10"/>
        <color rgb="FF000000"/>
        <rFont val="Noto Sans CJK SC"/>
        <family val="2"/>
      </rPr>
      <t>타겟 일치</t>
    </r>
  </si>
  <si>
    <t>FAIL</t>
  </si>
  <si>
    <t>불일치 – 즉시 조치</t>
  </si>
  <si>
    <t>WARN</t>
  </si>
  <si>
    <t>허용 오차 범위 내 – 원인 분석</t>
  </si>
  <si>
    <t>■  시트 목차</t>
  </si>
  <si>
    <t>①</t>
  </si>
  <si>
    <t>01_GG_Process</t>
  </si>
  <si>
    <r>
      <rPr>
        <sz val="10"/>
        <color rgb="FF000000"/>
        <rFont val="Arial"/>
        <family val="2"/>
      </rPr>
      <t xml:space="preserve">OCI GG </t>
    </r>
    <r>
      <rPr>
        <sz val="10"/>
        <color rgb="FF000000"/>
        <rFont val="Noto Sans CJK SC"/>
        <family val="2"/>
      </rPr>
      <t xml:space="preserve">프로세스 검증 </t>
    </r>
    <r>
      <rPr>
        <sz val="10"/>
        <color rgb="FF000000"/>
        <rFont val="Arial"/>
        <family val="2"/>
      </rPr>
      <t>(Extract/Pump/Replicat/LAG)</t>
    </r>
  </si>
  <si>
    <t>②</t>
  </si>
  <si>
    <t>02_Static_Schema</t>
  </si>
  <si>
    <r>
      <rPr>
        <sz val="10"/>
        <color rgb="FF000000"/>
        <rFont val="Noto Sans CJK SC"/>
        <family val="2"/>
      </rPr>
      <t xml:space="preserve">정적 구조 검증 </t>
    </r>
    <r>
      <rPr>
        <sz val="10"/>
        <color rgb="FF000000"/>
        <rFont val="Arial"/>
        <family val="2"/>
      </rPr>
      <t>(</t>
    </r>
    <r>
      <rPr>
        <sz val="10"/>
        <color rgb="FF000000"/>
        <rFont val="Noto Sans CJK SC"/>
        <family val="2"/>
      </rPr>
      <t>테이블</t>
    </r>
    <r>
      <rPr>
        <sz val="10"/>
        <color rgb="FF000000"/>
        <rFont val="Arial"/>
        <family val="2"/>
      </rPr>
      <t>·</t>
    </r>
    <r>
      <rPr>
        <sz val="10"/>
        <color rgb="FF000000"/>
        <rFont val="Noto Sans CJK SC"/>
        <family val="2"/>
      </rPr>
      <t>뷰</t>
    </r>
    <r>
      <rPr>
        <sz val="10"/>
        <color rgb="FF000000"/>
        <rFont val="Arial"/>
        <family val="2"/>
      </rPr>
      <t>·</t>
    </r>
    <r>
      <rPr>
        <sz val="10"/>
        <color rgb="FF000000"/>
        <rFont val="Noto Sans CJK SC"/>
        <family val="2"/>
      </rPr>
      <t>인덱스</t>
    </r>
    <r>
      <rPr>
        <sz val="10"/>
        <color rgb="FF000000"/>
        <rFont val="Arial"/>
        <family val="2"/>
      </rPr>
      <t>·</t>
    </r>
    <r>
      <rPr>
        <sz val="10"/>
        <color rgb="FF000000"/>
        <rFont val="Noto Sans CJK SC"/>
        <family val="2"/>
      </rPr>
      <t>제약</t>
    </r>
    <r>
      <rPr>
        <sz val="10"/>
        <color rgb="FF000000"/>
        <rFont val="Arial"/>
        <family val="2"/>
      </rPr>
      <t>·</t>
    </r>
    <r>
      <rPr>
        <sz val="10"/>
        <color rgb="FF000000"/>
        <rFont val="Noto Sans CJK SC"/>
        <family val="2"/>
      </rPr>
      <t>시퀀스 등</t>
    </r>
    <r>
      <rPr>
        <sz val="10"/>
        <color rgb="FF000000"/>
        <rFont val="Arial"/>
        <family val="2"/>
      </rPr>
      <t>)</t>
    </r>
  </si>
  <si>
    <t>③</t>
  </si>
  <si>
    <t>03_Data_Validation</t>
  </si>
  <si>
    <r>
      <rPr>
        <sz val="10"/>
        <color rgb="FF000000"/>
        <rFont val="Noto Sans CJK SC"/>
        <family val="2"/>
      </rPr>
      <t xml:space="preserve">데이터 정합성 </t>
    </r>
    <r>
      <rPr>
        <sz val="10"/>
        <color rgb="FF000000"/>
        <rFont val="Arial"/>
        <family val="2"/>
      </rPr>
      <t>(Row Count·Checksum·LOB·</t>
    </r>
    <r>
      <rPr>
        <sz val="10"/>
        <color rgb="FF000000"/>
        <rFont val="Noto Sans CJK SC"/>
        <family val="2"/>
      </rPr>
      <t>특수객체</t>
    </r>
    <r>
      <rPr>
        <sz val="10"/>
        <color rgb="FF000000"/>
        <rFont val="Arial"/>
        <family val="2"/>
      </rPr>
      <t>)</t>
    </r>
  </si>
  <si>
    <t>④</t>
  </si>
  <si>
    <t>04_Special_Objects</t>
  </si>
  <si>
    <r>
      <rPr>
        <sz val="10"/>
        <color rgb="FF000000"/>
        <rFont val="Noto Sans CJK SC"/>
        <family val="2"/>
      </rPr>
      <t xml:space="preserve">특수 객체 </t>
    </r>
    <r>
      <rPr>
        <sz val="10"/>
        <color rgb="FF000000"/>
        <rFont val="Arial"/>
        <family val="2"/>
      </rPr>
      <t>(MV·Trigger·DBLink·DBMS_JOB·</t>
    </r>
    <r>
      <rPr>
        <sz val="10"/>
        <color rgb="FF000000"/>
        <rFont val="Noto Sans CJK SC"/>
        <family val="2"/>
      </rPr>
      <t>파티션</t>
    </r>
    <r>
      <rPr>
        <sz val="10"/>
        <color rgb="FF000000"/>
        <rFont val="Arial"/>
        <family val="2"/>
      </rPr>
      <t>)</t>
    </r>
  </si>
  <si>
    <t>⑤</t>
  </si>
  <si>
    <t>05_Migration_Caution</t>
  </si>
  <si>
    <r>
      <rPr>
        <sz val="10"/>
        <color rgb="FF000000"/>
        <rFont val="Noto Sans CJK SC"/>
        <family val="2"/>
      </rPr>
      <t xml:space="preserve">마이그레이션 주의사항 </t>
    </r>
    <r>
      <rPr>
        <sz val="10"/>
        <color rgb="FF000000"/>
        <rFont val="Arial"/>
        <family val="2"/>
      </rPr>
      <t xml:space="preserve">&amp; SE </t>
    </r>
    <r>
      <rPr>
        <sz val="10"/>
        <color rgb="FF000000"/>
        <rFont val="Noto Sans CJK SC"/>
        <family val="2"/>
      </rPr>
      <t>제약</t>
    </r>
    <r>
      <rPr>
        <sz val="10"/>
        <color rgb="FF000000"/>
        <rFont val="Arial"/>
        <family val="2"/>
      </rPr>
      <t xml:space="preserve">·OCI GG </t>
    </r>
    <r>
      <rPr>
        <sz val="10"/>
        <color rgb="FF000000"/>
        <rFont val="Noto Sans CJK SC"/>
        <family val="2"/>
      </rPr>
      <t>특이사항</t>
    </r>
  </si>
  <si>
    <t>⑥</t>
  </si>
  <si>
    <t>06_Result_Dashboard</t>
  </si>
  <si>
    <r>
      <rPr>
        <sz val="10"/>
        <color rgb="FF000000"/>
        <rFont val="Noto Sans CJK SC"/>
        <family val="2"/>
      </rPr>
      <t xml:space="preserve">검증 결과 대시보드 </t>
    </r>
    <r>
      <rPr>
        <sz val="10"/>
        <color rgb="FF000000"/>
        <rFont val="Arial"/>
        <family val="2"/>
      </rPr>
      <t>(</t>
    </r>
    <r>
      <rPr>
        <sz val="10"/>
        <color rgb="FF000000"/>
        <rFont val="Noto Sans CJK SC"/>
        <family val="2"/>
      </rPr>
      <t>요약</t>
    </r>
    <r>
      <rPr>
        <sz val="10"/>
        <color rgb="FF000000"/>
        <rFont val="Arial"/>
        <family val="2"/>
      </rPr>
      <t>/</t>
    </r>
    <r>
      <rPr>
        <sz val="10"/>
        <color rgb="FF000000"/>
        <rFont val="Noto Sans CJK SC"/>
        <family val="2"/>
      </rPr>
      <t>판정</t>
    </r>
    <r>
      <rPr>
        <sz val="10"/>
        <color rgb="FF000000"/>
        <rFont val="Arial"/>
        <family val="2"/>
      </rPr>
      <t>)</t>
    </r>
  </si>
  <si>
    <t>NO</t>
  </si>
  <si>
    <t>검증 영역</t>
  </si>
  <si>
    <t>검증 항목</t>
  </si>
  <si>
    <r>
      <rPr>
        <b/>
        <sz val="11"/>
        <color rgb="FFFFFFFF"/>
        <rFont val="Noto Sans CJK SC"/>
        <family val="2"/>
      </rPr>
      <t xml:space="preserve">검증 방법 </t>
    </r>
    <r>
      <rPr>
        <b/>
        <sz val="11"/>
        <color rgb="FFFFFFFF"/>
        <rFont val="Arial"/>
        <family val="2"/>
      </rPr>
      <t xml:space="preserve">/ </t>
    </r>
    <r>
      <rPr>
        <b/>
        <sz val="11"/>
        <color rgb="FFFFFFFF"/>
        <rFont val="Noto Sans CJK SC"/>
        <family val="2"/>
      </rPr>
      <t>확인 내용</t>
    </r>
  </si>
  <si>
    <t>중요도</t>
  </si>
  <si>
    <r>
      <rPr>
        <b/>
        <sz val="11"/>
        <color rgb="FFFFFFFF"/>
        <rFont val="Arial"/>
        <family val="2"/>
      </rPr>
      <t>SE</t>
    </r>
    <r>
      <rPr>
        <b/>
        <sz val="11"/>
        <color rgb="FFFFFFFF"/>
        <rFont val="Noto Sans CJK SC"/>
        <family val="2"/>
      </rPr>
      <t>제약</t>
    </r>
  </si>
  <si>
    <t>OCI GG</t>
  </si>
  <si>
    <t>결과</t>
  </si>
  <si>
    <t>비고</t>
  </si>
  <si>
    <r>
      <rPr>
        <b/>
        <sz val="11"/>
        <color rgb="FF000000"/>
        <rFont val="Arial"/>
        <family val="2"/>
      </rPr>
      <t xml:space="preserve">▶  OCI GoldenGate </t>
    </r>
    <r>
      <rPr>
        <b/>
        <sz val="11"/>
        <color rgb="FF000000"/>
        <rFont val="Noto Sans CJK SC"/>
        <family val="2"/>
      </rPr>
      <t xml:space="preserve">프로세스 </t>
    </r>
    <r>
      <rPr>
        <b/>
        <sz val="11"/>
        <color rgb="FF000000"/>
        <rFont val="Arial"/>
        <family val="2"/>
      </rPr>
      <t xml:space="preserve">&amp; LAG </t>
    </r>
    <r>
      <rPr>
        <b/>
        <sz val="11"/>
        <color rgb="FF000000"/>
        <rFont val="Noto Sans CJK SC"/>
        <family val="2"/>
      </rPr>
      <t>검증</t>
    </r>
  </si>
  <si>
    <t>Pre-Check</t>
  </si>
  <si>
    <r>
      <rPr>
        <sz val="9"/>
        <color rgb="FF000000"/>
        <rFont val="Arial"/>
        <family val="2"/>
      </rPr>
      <t xml:space="preserve">ENABLE_GOLDENGATE_REPLICATION </t>
    </r>
    <r>
      <rPr>
        <sz val="9"/>
        <color rgb="FF000000"/>
        <rFont val="Noto Sans CJK SC"/>
        <family val="2"/>
      </rPr>
      <t>파라미터</t>
    </r>
  </si>
  <si>
    <r>
      <rPr>
        <sz val="9"/>
        <color rgb="FF000000"/>
        <rFont val="Noto Sans CJK SC"/>
        <family val="2"/>
      </rPr>
      <t xml:space="preserve">소스 </t>
    </r>
    <r>
      <rPr>
        <sz val="9"/>
        <color rgb="FF000000"/>
        <rFont val="Arial"/>
        <family val="2"/>
      </rPr>
      <t xml:space="preserve">DB: VALUE=TRUE </t>
    </r>
    <r>
      <rPr>
        <sz val="9"/>
        <color rgb="FF000000"/>
        <rFont val="Noto Sans CJK SC"/>
        <family val="2"/>
      </rPr>
      <t xml:space="preserve">확인 </t>
    </r>
    <r>
      <rPr>
        <sz val="9"/>
        <color rgb="FF000000"/>
        <rFont val="Arial"/>
        <family val="2"/>
      </rPr>
      <t xml:space="preserve">(SE </t>
    </r>
    <r>
      <rPr>
        <sz val="9"/>
        <color rgb="FF000000"/>
        <rFont val="Noto Sans CJK SC"/>
        <family val="2"/>
      </rPr>
      <t xml:space="preserve">기본값 </t>
    </r>
    <r>
      <rPr>
        <sz val="9"/>
        <color rgb="FF000000"/>
        <rFont val="Arial"/>
        <family val="2"/>
      </rPr>
      <t>FALSE)</t>
    </r>
  </si>
  <si>
    <t>상</t>
  </si>
  <si>
    <t>⚠️</t>
  </si>
  <si>
    <t>-</t>
  </si>
  <si>
    <r>
      <rPr>
        <sz val="9"/>
        <color rgb="FF000000"/>
        <rFont val="Arial"/>
        <family val="2"/>
      </rPr>
      <t xml:space="preserve">Archive Log </t>
    </r>
    <r>
      <rPr>
        <sz val="9"/>
        <color rgb="FF000000"/>
        <rFont val="Noto Sans CJK SC"/>
        <family val="2"/>
      </rPr>
      <t>모드 확인</t>
    </r>
  </si>
  <si>
    <r>
      <rPr>
        <sz val="9"/>
        <color rgb="FF000000"/>
        <rFont val="Arial"/>
        <family val="2"/>
      </rPr>
      <t xml:space="preserve">V$DATABASE.LOG_MODE = ARCHIVELOG </t>
    </r>
    <r>
      <rPr>
        <sz val="9"/>
        <color rgb="FF000000"/>
        <rFont val="Noto Sans CJK SC"/>
        <family val="2"/>
      </rPr>
      <t>확인</t>
    </r>
  </si>
  <si>
    <r>
      <rPr>
        <sz val="9"/>
        <color rgb="FF000000"/>
        <rFont val="Arial"/>
        <family val="2"/>
      </rPr>
      <t xml:space="preserve">Supplemental Logging (MIN) </t>
    </r>
    <r>
      <rPr>
        <sz val="9"/>
        <color rgb="FF000000"/>
        <rFont val="Noto Sans CJK SC"/>
        <family val="2"/>
      </rPr>
      <t>활성화</t>
    </r>
  </si>
  <si>
    <r>
      <rPr>
        <sz val="9"/>
        <color rgb="FF000000"/>
        <rFont val="Arial"/>
        <family val="2"/>
      </rPr>
      <t xml:space="preserve">ALTER DATABASE ADD SUPPLEMENTAL LOG DATA </t>
    </r>
    <r>
      <rPr>
        <sz val="9"/>
        <color rgb="FF000000"/>
        <rFont val="Noto Sans CJK SC"/>
        <family val="2"/>
      </rPr>
      <t>적용 확인</t>
    </r>
  </si>
  <si>
    <r>
      <rPr>
        <sz val="9"/>
        <color rgb="FF000000"/>
        <rFont val="Arial"/>
        <family val="2"/>
      </rPr>
      <t xml:space="preserve">Supplemental Logging (PK) </t>
    </r>
    <r>
      <rPr>
        <sz val="9"/>
        <color rgb="FF000000"/>
        <rFont val="Noto Sans CJK SC"/>
        <family val="2"/>
      </rPr>
      <t>활성화</t>
    </r>
  </si>
  <si>
    <r>
      <rPr>
        <sz val="9"/>
        <color rgb="FF000000"/>
        <rFont val="Arial"/>
        <family val="2"/>
      </rPr>
      <t xml:space="preserve">PK </t>
    </r>
    <r>
      <rPr>
        <sz val="9"/>
        <color rgb="FF000000"/>
        <rFont val="Noto Sans CJK SC"/>
        <family val="2"/>
      </rPr>
      <t xml:space="preserve">없는 테이블 → </t>
    </r>
    <r>
      <rPr>
        <sz val="9"/>
        <color rgb="FF000000"/>
        <rFont val="Arial"/>
        <family val="2"/>
      </rPr>
      <t xml:space="preserve">ALL COLUMNS </t>
    </r>
    <r>
      <rPr>
        <sz val="9"/>
        <color rgb="FF000000"/>
        <rFont val="Noto Sans CJK SC"/>
        <family val="2"/>
      </rPr>
      <t>로깅 설정 여부</t>
    </r>
  </si>
  <si>
    <r>
      <rPr>
        <sz val="9"/>
        <color rgb="FF000000"/>
        <rFont val="Arial"/>
        <family val="2"/>
      </rPr>
      <t xml:space="preserve">Redo Log </t>
    </r>
    <r>
      <rPr>
        <sz val="9"/>
        <color rgb="FF000000"/>
        <rFont val="Noto Sans CJK SC"/>
        <family val="2"/>
      </rPr>
      <t>크기 및 그룹 수</t>
    </r>
  </si>
  <si>
    <r>
      <rPr>
        <sz val="9"/>
        <color rgb="FF000000"/>
        <rFont val="Noto Sans CJK SC"/>
        <family val="2"/>
      </rPr>
      <t xml:space="preserve">최소 </t>
    </r>
    <r>
      <rPr>
        <sz val="9"/>
        <color rgb="FF000000"/>
        <rFont val="Arial"/>
        <family val="2"/>
      </rPr>
      <t>3</t>
    </r>
    <r>
      <rPr>
        <sz val="9"/>
        <color rgb="FF000000"/>
        <rFont val="Noto Sans CJK SC"/>
        <family val="2"/>
      </rPr>
      <t>그룹</t>
    </r>
    <r>
      <rPr>
        <sz val="9"/>
        <color rgb="FF000000"/>
        <rFont val="Arial"/>
        <family val="2"/>
      </rPr>
      <t xml:space="preserve">, </t>
    </r>
    <r>
      <rPr>
        <sz val="9"/>
        <color rgb="FF000000"/>
        <rFont val="Noto Sans CJK SC"/>
        <family val="2"/>
      </rPr>
      <t xml:space="preserve">그룹당 </t>
    </r>
    <r>
      <rPr>
        <sz val="9"/>
        <color rgb="FF000000"/>
        <rFont val="Arial"/>
        <family val="2"/>
      </rPr>
      <t xml:space="preserve">500MB </t>
    </r>
    <r>
      <rPr>
        <sz val="9"/>
        <color rgb="FF000000"/>
        <rFont val="Noto Sans CJK SC"/>
        <family val="2"/>
      </rPr>
      <t>이상 권장 확인</t>
    </r>
  </si>
  <si>
    <t>중</t>
  </si>
  <si>
    <r>
      <rPr>
        <sz val="9"/>
        <color rgb="FF000000"/>
        <rFont val="Arial"/>
        <family val="2"/>
      </rPr>
      <t xml:space="preserve">GGADMIN </t>
    </r>
    <r>
      <rPr>
        <sz val="9"/>
        <color rgb="FF000000"/>
        <rFont val="Noto Sans CJK SC"/>
        <family val="2"/>
      </rPr>
      <t>계정 권한</t>
    </r>
  </si>
  <si>
    <r>
      <rPr>
        <sz val="9"/>
        <color rgb="FF000000"/>
        <rFont val="Arial"/>
        <family val="2"/>
      </rPr>
      <t xml:space="preserve">DBA_ROLE_PRIVS / DBA_SYS_PRIVS </t>
    </r>
    <r>
      <rPr>
        <sz val="9"/>
        <color rgb="FF000000"/>
        <rFont val="Noto Sans CJK SC"/>
        <family val="2"/>
      </rPr>
      <t>필수 권한 확인</t>
    </r>
  </si>
  <si>
    <t>☁️</t>
  </si>
  <si>
    <r>
      <rPr>
        <sz val="9"/>
        <color rgb="FF000000"/>
        <rFont val="Arial"/>
        <family val="2"/>
      </rPr>
      <t xml:space="preserve">RDS Redo Log </t>
    </r>
    <r>
      <rPr>
        <sz val="9"/>
        <color rgb="FF000000"/>
        <rFont val="Noto Sans CJK SC"/>
        <family val="2"/>
      </rPr>
      <t>보존 기간</t>
    </r>
  </si>
  <si>
    <r>
      <rPr>
        <sz val="9"/>
        <color rgb="FF000000"/>
        <rFont val="Arial"/>
        <family val="2"/>
      </rPr>
      <t xml:space="preserve">OCI GG Deployment </t>
    </r>
    <r>
      <rPr>
        <sz val="9"/>
        <color rgb="FF000000"/>
        <rFont val="Noto Sans CJK SC"/>
        <family val="2"/>
      </rPr>
      <t>버전</t>
    </r>
  </si>
  <si>
    <r>
      <rPr>
        <sz val="9"/>
        <color rgb="FF000000"/>
        <rFont val="Noto Sans CJK SC"/>
        <family val="2"/>
      </rPr>
      <t xml:space="preserve">소스 </t>
    </r>
    <r>
      <rPr>
        <sz val="9"/>
        <color rgb="FF000000"/>
        <rFont val="Arial"/>
        <family val="2"/>
      </rPr>
      <t xml:space="preserve">Oracle 19c </t>
    </r>
    <r>
      <rPr>
        <sz val="9"/>
        <color rgb="FF000000"/>
        <rFont val="Noto Sans CJK SC"/>
        <family val="2"/>
      </rPr>
      <t>지원 버전 확인</t>
    </r>
  </si>
  <si>
    <r>
      <rPr>
        <sz val="9"/>
        <color rgb="FF000000"/>
        <rFont val="Noto Sans CJK SC"/>
        <family val="2"/>
      </rPr>
      <t xml:space="preserve">네트워크 연결 </t>
    </r>
    <r>
      <rPr>
        <sz val="9"/>
        <color rgb="FF000000"/>
        <rFont val="Arial"/>
        <family val="2"/>
      </rPr>
      <t>(RDS→OCI GG)</t>
    </r>
  </si>
  <si>
    <t>Extract</t>
  </si>
  <si>
    <r>
      <rPr>
        <sz val="9"/>
        <color rgb="FF000000"/>
        <rFont val="Arial"/>
        <family val="2"/>
      </rPr>
      <t xml:space="preserve">Extract </t>
    </r>
    <r>
      <rPr>
        <sz val="9"/>
        <color rgb="FF000000"/>
        <rFont val="Noto Sans CJK SC"/>
        <family val="2"/>
      </rPr>
      <t>프로세스 상태</t>
    </r>
  </si>
  <si>
    <r>
      <rPr>
        <sz val="9"/>
        <color rgb="FF000000"/>
        <rFont val="Arial"/>
        <family val="2"/>
      </rPr>
      <t xml:space="preserve">STATUS EXTRACT → RUNNING </t>
    </r>
    <r>
      <rPr>
        <sz val="9"/>
        <color rgb="FF000000"/>
        <rFont val="Noto Sans CJK SC"/>
        <family val="2"/>
      </rPr>
      <t>확인</t>
    </r>
  </si>
  <si>
    <t>Extract LAG</t>
  </si>
  <si>
    <r>
      <rPr>
        <sz val="9"/>
        <color rgb="FF000000"/>
        <rFont val="Arial"/>
        <family val="2"/>
      </rPr>
      <t>LAG EXTRACT &lt; 30</t>
    </r>
    <r>
      <rPr>
        <sz val="9"/>
        <color rgb="FF000000"/>
        <rFont val="Noto Sans CJK SC"/>
        <family val="2"/>
      </rPr>
      <t>초 이내 유지</t>
    </r>
  </si>
  <si>
    <r>
      <rPr>
        <sz val="9"/>
        <color rgb="FF000000"/>
        <rFont val="Arial"/>
        <family val="2"/>
      </rPr>
      <t xml:space="preserve">Extract Trail </t>
    </r>
    <r>
      <rPr>
        <sz val="9"/>
        <color rgb="FF000000"/>
        <rFont val="Noto Sans CJK SC"/>
        <family val="2"/>
      </rPr>
      <t>파일 생성</t>
    </r>
  </si>
  <si>
    <r>
      <rPr>
        <sz val="9"/>
        <color rgb="FF000000"/>
        <rFont val="Arial"/>
        <family val="2"/>
      </rPr>
      <t xml:space="preserve">Trail </t>
    </r>
    <r>
      <rPr>
        <sz val="9"/>
        <color rgb="FF000000"/>
        <rFont val="Noto Sans CJK SC"/>
        <family val="2"/>
      </rPr>
      <t>파일 정상 생성 및 용량 증가 확인</t>
    </r>
  </si>
  <si>
    <r>
      <rPr>
        <sz val="9"/>
        <color rgb="FF000000"/>
        <rFont val="Arial"/>
        <family val="2"/>
      </rPr>
      <t xml:space="preserve">Extract Checkpoint SCN </t>
    </r>
    <r>
      <rPr>
        <sz val="9"/>
        <color rgb="FF000000"/>
        <rFont val="Noto Sans CJK SC"/>
        <family val="2"/>
      </rPr>
      <t>진행</t>
    </r>
  </si>
  <si>
    <r>
      <rPr>
        <sz val="9"/>
        <color rgb="FF000000"/>
        <rFont val="Arial"/>
        <family val="2"/>
      </rPr>
      <t xml:space="preserve">CURRENT_SCN </t>
    </r>
    <r>
      <rPr>
        <sz val="9"/>
        <color rgb="FF000000"/>
        <rFont val="Noto Sans CJK SC"/>
        <family val="2"/>
      </rPr>
      <t xml:space="preserve">대비 </t>
    </r>
    <r>
      <rPr>
        <sz val="9"/>
        <color rgb="FF000000"/>
        <rFont val="Arial"/>
        <family val="2"/>
      </rPr>
      <t xml:space="preserve">Checkpoint SCN </t>
    </r>
    <r>
      <rPr>
        <sz val="9"/>
        <color rgb="FF000000"/>
        <rFont val="Noto Sans CJK SC"/>
        <family val="2"/>
      </rPr>
      <t>비교</t>
    </r>
  </si>
  <si>
    <r>
      <rPr>
        <sz val="9"/>
        <color rgb="FF000000"/>
        <rFont val="Arial"/>
        <family val="2"/>
      </rPr>
      <t xml:space="preserve">Extract ABEND </t>
    </r>
    <r>
      <rPr>
        <sz val="9"/>
        <color rgb="FF000000"/>
        <rFont val="Noto Sans CJK SC"/>
        <family val="2"/>
      </rPr>
      <t>이력</t>
    </r>
  </si>
  <si>
    <r>
      <rPr>
        <sz val="9"/>
        <color rgb="FF000000"/>
        <rFont val="Arial"/>
        <family val="2"/>
      </rPr>
      <t xml:space="preserve">VIEW REPORT → ABEND/ERROR </t>
    </r>
    <r>
      <rPr>
        <sz val="9"/>
        <color rgb="FF000000"/>
        <rFont val="Noto Sans CJK SC"/>
        <family val="2"/>
      </rPr>
      <t>없음 확인</t>
    </r>
  </si>
  <si>
    <t>Data Pump</t>
  </si>
  <si>
    <r>
      <rPr>
        <sz val="9"/>
        <color rgb="FF000000"/>
        <rFont val="Arial"/>
        <family val="2"/>
      </rPr>
      <t xml:space="preserve">Data Pump </t>
    </r>
    <r>
      <rPr>
        <sz val="9"/>
        <color rgb="FF000000"/>
        <rFont val="Noto Sans CJK SC"/>
        <family val="2"/>
      </rPr>
      <t>프로세스 상태</t>
    </r>
  </si>
  <si>
    <t>STATUS EXTRACT (Pump) → RUNNING</t>
  </si>
  <si>
    <t>Pump LAG</t>
  </si>
  <si>
    <r>
      <rPr>
        <sz val="9"/>
        <color rgb="FF000000"/>
        <rFont val="Arial"/>
        <family val="2"/>
      </rPr>
      <t xml:space="preserve">Trail </t>
    </r>
    <r>
      <rPr>
        <sz val="9"/>
        <color rgb="FF000000"/>
        <rFont val="Noto Sans CJK SC"/>
        <family val="2"/>
      </rPr>
      <t xml:space="preserve">전송 지연 </t>
    </r>
    <r>
      <rPr>
        <sz val="9"/>
        <color rgb="FF000000"/>
        <rFont val="Arial"/>
        <family val="2"/>
      </rPr>
      <t>&lt; 30</t>
    </r>
    <r>
      <rPr>
        <sz val="9"/>
        <color rgb="FF000000"/>
        <rFont val="Noto Sans CJK SC"/>
        <family val="2"/>
      </rPr>
      <t>초</t>
    </r>
  </si>
  <si>
    <r>
      <rPr>
        <sz val="9"/>
        <color rgb="FF000000"/>
        <rFont val="Arial"/>
        <family val="2"/>
      </rPr>
      <t xml:space="preserve">OCI Object Storage </t>
    </r>
    <r>
      <rPr>
        <sz val="9"/>
        <color rgb="FF000000"/>
        <rFont val="Noto Sans CJK SC"/>
        <family val="2"/>
      </rPr>
      <t>연결</t>
    </r>
  </si>
  <si>
    <r>
      <rPr>
        <sz val="9"/>
        <color rgb="FF000000"/>
        <rFont val="Arial"/>
        <family val="2"/>
      </rPr>
      <t xml:space="preserve">Pump→OCI Trail </t>
    </r>
    <r>
      <rPr>
        <sz val="9"/>
        <color rgb="FF000000"/>
        <rFont val="Noto Sans CJK SC"/>
        <family val="2"/>
      </rPr>
      <t>저장소 접근 가능 여부</t>
    </r>
  </si>
  <si>
    <t>Replicat</t>
  </si>
  <si>
    <r>
      <rPr>
        <sz val="9"/>
        <color rgb="FF000000"/>
        <rFont val="Arial"/>
        <family val="2"/>
      </rPr>
      <t xml:space="preserve">Replicat </t>
    </r>
    <r>
      <rPr>
        <sz val="9"/>
        <color rgb="FF000000"/>
        <rFont val="Noto Sans CJK SC"/>
        <family val="2"/>
      </rPr>
      <t>프로세스 상태</t>
    </r>
  </si>
  <si>
    <r>
      <rPr>
        <sz val="9"/>
        <color rgb="FF000000"/>
        <rFont val="Arial"/>
        <family val="2"/>
      </rPr>
      <t xml:space="preserve">STATUS REPLICAT → RUNNING </t>
    </r>
    <r>
      <rPr>
        <sz val="9"/>
        <color rgb="FF000000"/>
        <rFont val="Noto Sans CJK SC"/>
        <family val="2"/>
      </rPr>
      <t>확인</t>
    </r>
  </si>
  <si>
    <t>Replicat LAG</t>
  </si>
  <si>
    <r>
      <rPr>
        <sz val="9"/>
        <color rgb="FF000000"/>
        <rFont val="Arial"/>
        <family val="2"/>
      </rPr>
      <t>LAG REPLICAT &lt; 30</t>
    </r>
    <r>
      <rPr>
        <sz val="9"/>
        <color rgb="FF000000"/>
        <rFont val="Noto Sans CJK SC"/>
        <family val="2"/>
      </rPr>
      <t>초 이내</t>
    </r>
  </si>
  <si>
    <r>
      <rPr>
        <sz val="9"/>
        <color rgb="FF000000"/>
        <rFont val="Arial"/>
        <family val="2"/>
      </rPr>
      <t xml:space="preserve">Replicat Apply </t>
    </r>
    <r>
      <rPr>
        <sz val="9"/>
        <color rgb="FF000000"/>
        <rFont val="Noto Sans CJK SC"/>
        <family val="2"/>
      </rPr>
      <t>통계</t>
    </r>
  </si>
  <si>
    <r>
      <rPr>
        <sz val="9"/>
        <color rgb="FF000000"/>
        <rFont val="Arial"/>
        <family val="2"/>
      </rPr>
      <t xml:space="preserve">STATS REPLICAT TOTAL → Insert/Update/Delete </t>
    </r>
    <r>
      <rPr>
        <sz val="9"/>
        <color rgb="FF000000"/>
        <rFont val="Noto Sans CJK SC"/>
        <family val="2"/>
      </rPr>
      <t>건수</t>
    </r>
  </si>
  <si>
    <r>
      <rPr>
        <sz val="9"/>
        <color rgb="FF000000"/>
        <rFont val="Arial"/>
        <family val="2"/>
      </rPr>
      <t xml:space="preserve">Discard </t>
    </r>
    <r>
      <rPr>
        <sz val="9"/>
        <color rgb="FF000000"/>
        <rFont val="Noto Sans CJK SC"/>
        <family val="2"/>
      </rPr>
      <t>파일 레코드</t>
    </r>
  </si>
  <si>
    <r>
      <rPr>
        <sz val="9"/>
        <color rgb="FF000000"/>
        <rFont val="Arial"/>
        <family val="2"/>
      </rPr>
      <t xml:space="preserve">Discard </t>
    </r>
    <r>
      <rPr>
        <sz val="9"/>
        <color rgb="FF000000"/>
        <rFont val="Noto Sans CJK SC"/>
        <family val="2"/>
      </rPr>
      <t xml:space="preserve">파일 내 </t>
    </r>
    <r>
      <rPr>
        <sz val="9"/>
        <color rgb="FF000000"/>
        <rFont val="Arial"/>
        <family val="2"/>
      </rPr>
      <t>Skip</t>
    </r>
    <r>
      <rPr>
        <sz val="9"/>
        <color rgb="FF000000"/>
        <rFont val="Noto Sans CJK SC"/>
        <family val="2"/>
      </rPr>
      <t xml:space="preserve">된 레코드 </t>
    </r>
    <r>
      <rPr>
        <sz val="9"/>
        <color rgb="FF000000"/>
        <rFont val="Arial"/>
        <family val="2"/>
      </rPr>
      <t>0</t>
    </r>
    <r>
      <rPr>
        <sz val="9"/>
        <color rgb="FF000000"/>
        <rFont val="Noto Sans CJK SC"/>
        <family val="2"/>
      </rPr>
      <t>건</t>
    </r>
  </si>
  <si>
    <r>
      <rPr>
        <sz val="9"/>
        <color rgb="FF000000"/>
        <rFont val="Arial"/>
        <family val="2"/>
      </rPr>
      <t xml:space="preserve">SUPPRESSTRIGGERS </t>
    </r>
    <r>
      <rPr>
        <sz val="9"/>
        <color rgb="FF000000"/>
        <rFont val="Noto Sans CJK SC"/>
        <family val="2"/>
      </rPr>
      <t>설정</t>
    </r>
  </si>
  <si>
    <r>
      <rPr>
        <sz val="9"/>
        <color rgb="FF000000"/>
        <rFont val="Arial"/>
        <family val="2"/>
      </rPr>
      <t xml:space="preserve">Replicat </t>
    </r>
    <r>
      <rPr>
        <sz val="9"/>
        <color rgb="FF000000"/>
        <rFont val="Noto Sans CJK SC"/>
        <family val="2"/>
      </rPr>
      <t xml:space="preserve">적용 시 타겟 </t>
    </r>
    <r>
      <rPr>
        <sz val="9"/>
        <color rgb="FF000000"/>
        <rFont val="Arial"/>
        <family val="2"/>
      </rPr>
      <t xml:space="preserve">Trigger </t>
    </r>
    <r>
      <rPr>
        <sz val="9"/>
        <color rgb="FF000000"/>
        <rFont val="Noto Sans CJK SC"/>
        <family val="2"/>
      </rPr>
      <t>억제 확인</t>
    </r>
  </si>
  <si>
    <r>
      <rPr>
        <sz val="9"/>
        <color rgb="FF000000"/>
        <rFont val="Arial"/>
        <family val="2"/>
      </rPr>
      <t xml:space="preserve">Replicat ABEND </t>
    </r>
    <r>
      <rPr>
        <sz val="9"/>
        <color rgb="FF000000"/>
        <rFont val="Noto Sans CJK SC"/>
        <family val="2"/>
      </rPr>
      <t>이력</t>
    </r>
  </si>
  <si>
    <r>
      <rPr>
        <sz val="9"/>
        <color rgb="FF000000"/>
        <rFont val="Arial"/>
        <family val="2"/>
      </rPr>
      <t xml:space="preserve">VIEW REPORT → ERROR </t>
    </r>
    <r>
      <rPr>
        <sz val="9"/>
        <color rgb="FF000000"/>
        <rFont val="Noto Sans CJK SC"/>
        <family val="2"/>
      </rPr>
      <t>없음</t>
    </r>
  </si>
  <si>
    <t>Trail File</t>
  </si>
  <si>
    <r>
      <rPr>
        <sz val="9"/>
        <color rgb="FF000000"/>
        <rFont val="Arial"/>
        <family val="2"/>
      </rPr>
      <t xml:space="preserve">Trail File </t>
    </r>
    <r>
      <rPr>
        <sz val="9"/>
        <color rgb="FF000000"/>
        <rFont val="Noto Sans CJK SC"/>
        <family val="2"/>
      </rPr>
      <t>용량 모니터링</t>
    </r>
  </si>
  <si>
    <r>
      <rPr>
        <sz val="9"/>
        <color rgb="FF000000"/>
        <rFont val="Arial"/>
        <family val="2"/>
      </rPr>
      <t xml:space="preserve">Extract Trail </t>
    </r>
    <r>
      <rPr>
        <sz val="9"/>
        <color rgb="FF000000"/>
        <rFont val="Noto Sans CJK SC"/>
        <family val="2"/>
      </rPr>
      <t xml:space="preserve">급증 여부 </t>
    </r>
    <r>
      <rPr>
        <sz val="9"/>
        <color rgb="FF000000"/>
        <rFont val="Arial"/>
        <family val="2"/>
      </rPr>
      <t xml:space="preserve">(LOB </t>
    </r>
    <r>
      <rPr>
        <sz val="9"/>
        <color rgb="FF000000"/>
        <rFont val="Noto Sans CJK SC"/>
        <family val="2"/>
      </rPr>
      <t>복제 시 특히 주의</t>
    </r>
    <r>
      <rPr>
        <sz val="9"/>
        <color rgb="FF000000"/>
        <rFont val="Arial"/>
        <family val="2"/>
      </rPr>
      <t>)</t>
    </r>
  </si>
  <si>
    <r>
      <rPr>
        <sz val="9"/>
        <color rgb="FF000000"/>
        <rFont val="Arial"/>
        <family val="2"/>
      </rPr>
      <t xml:space="preserve">Trail File </t>
    </r>
    <r>
      <rPr>
        <sz val="9"/>
        <color rgb="FF000000"/>
        <rFont val="Noto Sans CJK SC"/>
        <family val="2"/>
      </rPr>
      <t>보존 정책</t>
    </r>
  </si>
  <si>
    <r>
      <rPr>
        <sz val="9"/>
        <color rgb="FF000000"/>
        <rFont val="Arial"/>
        <family val="2"/>
      </rPr>
      <t xml:space="preserve">OCI Object Storage </t>
    </r>
    <r>
      <rPr>
        <sz val="9"/>
        <color rgb="FF000000"/>
        <rFont val="Noto Sans CJK SC"/>
        <family val="2"/>
      </rPr>
      <t>보존 기간 설정 확인</t>
    </r>
  </si>
  <si>
    <t>하</t>
  </si>
  <si>
    <t>상시운영</t>
  </si>
  <si>
    <r>
      <rPr>
        <sz val="9"/>
        <color rgb="FF000000"/>
        <rFont val="Arial"/>
        <family val="2"/>
      </rPr>
      <t xml:space="preserve">LAG </t>
    </r>
    <r>
      <rPr>
        <sz val="9"/>
        <color rgb="FF000000"/>
        <rFont val="Noto Sans CJK SC"/>
        <family val="2"/>
      </rPr>
      <t>임계치 알람 설정</t>
    </r>
  </si>
  <si>
    <r>
      <rPr>
        <sz val="9"/>
        <color rgb="FF000000"/>
        <rFont val="Arial"/>
        <family val="2"/>
      </rPr>
      <t xml:space="preserve">OCI GG </t>
    </r>
    <r>
      <rPr>
        <sz val="9"/>
        <color rgb="FF000000"/>
        <rFont val="Noto Sans CJK SC"/>
        <family val="2"/>
      </rPr>
      <t xml:space="preserve">모니터링 → </t>
    </r>
    <r>
      <rPr>
        <sz val="9"/>
        <color rgb="FF000000"/>
        <rFont val="Arial"/>
        <family val="2"/>
      </rPr>
      <t>LAG Alert 30</t>
    </r>
    <r>
      <rPr>
        <sz val="9"/>
        <color rgb="FF000000"/>
        <rFont val="Noto Sans CJK SC"/>
        <family val="2"/>
      </rPr>
      <t>초 이하 설정</t>
    </r>
  </si>
  <si>
    <r>
      <rPr>
        <sz val="9"/>
        <color rgb="FF000000"/>
        <rFont val="Arial"/>
        <family val="2"/>
      </rPr>
      <t xml:space="preserve">GGADMIN </t>
    </r>
    <r>
      <rPr>
        <sz val="9"/>
        <color rgb="FF000000"/>
        <rFont val="Noto Sans CJK SC"/>
        <family val="2"/>
      </rPr>
      <t>계정 비밀번호 만료</t>
    </r>
  </si>
  <si>
    <r>
      <rPr>
        <sz val="9"/>
        <color rgb="FF000000"/>
        <rFont val="Noto Sans CJK SC"/>
        <family val="2"/>
      </rPr>
      <t xml:space="preserve">패스워드 만료 정책 확인 </t>
    </r>
    <r>
      <rPr>
        <sz val="9"/>
        <color rgb="FF000000"/>
        <rFont val="Arial"/>
        <family val="2"/>
      </rPr>
      <t xml:space="preserve">/ </t>
    </r>
    <r>
      <rPr>
        <sz val="9"/>
        <color rgb="FF000000"/>
        <rFont val="Noto Sans CJK SC"/>
        <family val="2"/>
      </rPr>
      <t>무제한 설정 권장</t>
    </r>
  </si>
  <si>
    <r>
      <rPr>
        <sz val="9"/>
        <color rgb="FF000000"/>
        <rFont val="Arial"/>
        <family val="2"/>
      </rPr>
      <t xml:space="preserve">OCI GG Deployment </t>
    </r>
    <r>
      <rPr>
        <sz val="9"/>
        <color rgb="FF000000"/>
        <rFont val="Noto Sans CJK SC"/>
        <family val="2"/>
      </rPr>
      <t>자동 패치</t>
    </r>
  </si>
  <si>
    <r>
      <rPr>
        <sz val="9"/>
        <color rgb="FF000000"/>
        <rFont val="Arial"/>
        <family val="2"/>
      </rPr>
      <t xml:space="preserve">OCI Console </t>
    </r>
    <r>
      <rPr>
        <sz val="9"/>
        <color rgb="FF000000"/>
        <rFont val="Noto Sans CJK SC"/>
        <family val="2"/>
      </rPr>
      <t>자동 업데이트 정책 확인</t>
    </r>
  </si>
  <si>
    <t>객체 유형</t>
  </si>
  <si>
    <r>
      <rPr>
        <b/>
        <sz val="11"/>
        <color rgb="FF000000"/>
        <rFont val="Noto Sans CJK SC"/>
        <family val="2"/>
      </rPr>
      <t xml:space="preserve">▶  정적 구조 검증 </t>
    </r>
    <r>
      <rPr>
        <b/>
        <sz val="11"/>
        <color rgb="FF000000"/>
        <rFont val="Arial"/>
        <family val="2"/>
      </rPr>
      <t xml:space="preserve">(Static Schema Validation) — </t>
    </r>
    <r>
      <rPr>
        <b/>
        <sz val="11"/>
        <color rgb="FF000000"/>
        <rFont val="Noto Sans CJK SC"/>
        <family val="2"/>
      </rPr>
      <t>스키마</t>
    </r>
    <r>
      <rPr>
        <b/>
        <sz val="11"/>
        <color rgb="FF000000"/>
        <rFont val="Arial"/>
        <family val="2"/>
      </rPr>
      <t>·</t>
    </r>
    <r>
      <rPr>
        <b/>
        <sz val="11"/>
        <color rgb="FF000000"/>
        <rFont val="Noto Sans CJK SC"/>
        <family val="2"/>
      </rPr>
      <t>객체</t>
    </r>
    <r>
      <rPr>
        <b/>
        <sz val="11"/>
        <color rgb="FF000000"/>
        <rFont val="Arial"/>
        <family val="2"/>
      </rPr>
      <t xml:space="preserve">·DDL </t>
    </r>
    <r>
      <rPr>
        <b/>
        <sz val="11"/>
        <color rgb="FF000000"/>
        <rFont val="Noto Sans CJK SC"/>
        <family val="2"/>
      </rPr>
      <t>구조 비교</t>
    </r>
  </si>
  <si>
    <t>Table</t>
  </si>
  <si>
    <t>테이블 수 일치</t>
  </si>
  <si>
    <r>
      <rPr>
        <sz val="9"/>
        <color rgb="FF000000"/>
        <rFont val="Arial"/>
        <family val="2"/>
      </rPr>
      <t xml:space="preserve">DBA_TABLES </t>
    </r>
    <r>
      <rPr>
        <sz val="9"/>
        <color rgb="FF000000"/>
        <rFont val="Noto Sans CJK SC"/>
        <family val="2"/>
      </rPr>
      <t>기준 소스</t>
    </r>
    <r>
      <rPr>
        <sz val="9"/>
        <color rgb="FF000000"/>
        <rFont val="Arial"/>
        <family val="2"/>
      </rPr>
      <t>/</t>
    </r>
    <r>
      <rPr>
        <sz val="9"/>
        <color rgb="FF000000"/>
        <rFont val="Noto Sans CJK SC"/>
        <family val="2"/>
      </rPr>
      <t>타겟 테이블 목록 비교</t>
    </r>
  </si>
  <si>
    <t>컬럼 수 및 순서 일치</t>
  </si>
  <si>
    <r>
      <rPr>
        <sz val="9"/>
        <color rgb="FF000000"/>
        <rFont val="Arial"/>
        <family val="2"/>
      </rPr>
      <t xml:space="preserve">DBA_TAB_COLUMNS </t>
    </r>
    <r>
      <rPr>
        <sz val="9"/>
        <color rgb="FF000000"/>
        <rFont val="Noto Sans CJK SC"/>
        <family val="2"/>
      </rPr>
      <t>컬럼명</t>
    </r>
    <r>
      <rPr>
        <sz val="9"/>
        <color rgb="FF000000"/>
        <rFont val="Arial"/>
        <family val="2"/>
      </rPr>
      <t>·</t>
    </r>
    <r>
      <rPr>
        <sz val="9"/>
        <color rgb="FF000000"/>
        <rFont val="Noto Sans CJK SC"/>
        <family val="2"/>
      </rPr>
      <t>순서</t>
    </r>
    <r>
      <rPr>
        <sz val="9"/>
        <color rgb="FF000000"/>
        <rFont val="Arial"/>
        <family val="2"/>
      </rPr>
      <t>·</t>
    </r>
    <r>
      <rPr>
        <sz val="9"/>
        <color rgb="FF000000"/>
        <rFont val="Noto Sans CJK SC"/>
        <family val="2"/>
      </rPr>
      <t>데이터타입 비교</t>
    </r>
  </si>
  <si>
    <t>데이터 타입 일치</t>
  </si>
  <si>
    <r>
      <rPr>
        <sz val="9"/>
        <color rgb="FF000000"/>
        <rFont val="Arial"/>
        <family val="2"/>
      </rPr>
      <t xml:space="preserve">NUMBER·VARCHAR2·DATE·TIMESTAMP </t>
    </r>
    <r>
      <rPr>
        <sz val="9"/>
        <color rgb="FF000000"/>
        <rFont val="Noto Sans CJK SC"/>
        <family val="2"/>
      </rPr>
      <t>타입 및 길이 비교</t>
    </r>
  </si>
  <si>
    <r>
      <rPr>
        <sz val="9"/>
        <color rgb="FF000000"/>
        <rFont val="Arial"/>
        <family val="2"/>
      </rPr>
      <t xml:space="preserve">NULL </t>
    </r>
    <r>
      <rPr>
        <sz val="9"/>
        <color rgb="FF000000"/>
        <rFont val="Noto Sans CJK SC"/>
        <family val="2"/>
      </rPr>
      <t>허용 여부 일치</t>
    </r>
  </si>
  <si>
    <r>
      <rPr>
        <sz val="9"/>
        <color rgb="FF000000"/>
        <rFont val="Arial"/>
        <family val="2"/>
      </rPr>
      <t xml:space="preserve">NULLABLE </t>
    </r>
    <r>
      <rPr>
        <sz val="9"/>
        <color rgb="FF000000"/>
        <rFont val="Noto Sans CJK SC"/>
        <family val="2"/>
      </rPr>
      <t>속성 소스</t>
    </r>
    <r>
      <rPr>
        <sz val="9"/>
        <color rgb="FF000000"/>
        <rFont val="Arial"/>
        <family val="2"/>
      </rPr>
      <t>/</t>
    </r>
    <r>
      <rPr>
        <sz val="9"/>
        <color rgb="FF000000"/>
        <rFont val="Noto Sans CJK SC"/>
        <family val="2"/>
      </rPr>
      <t>타겟 비교</t>
    </r>
  </si>
  <si>
    <r>
      <rPr>
        <sz val="9"/>
        <color rgb="FF000000"/>
        <rFont val="Arial"/>
        <family val="2"/>
      </rPr>
      <t xml:space="preserve">DEFAULT </t>
    </r>
    <r>
      <rPr>
        <sz val="9"/>
        <color rgb="FF000000"/>
        <rFont val="Noto Sans CJK SC"/>
        <family val="2"/>
      </rPr>
      <t>값 일치</t>
    </r>
  </si>
  <si>
    <r>
      <rPr>
        <sz val="9"/>
        <color rgb="FF000000"/>
        <rFont val="Arial"/>
        <family val="2"/>
      </rPr>
      <t xml:space="preserve">DATA_DEFAULT </t>
    </r>
    <r>
      <rPr>
        <sz val="9"/>
        <color rgb="FF000000"/>
        <rFont val="Noto Sans CJK SC"/>
        <family val="2"/>
      </rPr>
      <t>속성 비교</t>
    </r>
  </si>
  <si>
    <t>Index</t>
  </si>
  <si>
    <t>인덱스 수 및 이름 일치</t>
  </si>
  <si>
    <r>
      <rPr>
        <sz val="9"/>
        <color rgb="FF000000"/>
        <rFont val="Arial"/>
        <family val="2"/>
      </rPr>
      <t xml:space="preserve">DBA_INDEXES </t>
    </r>
    <r>
      <rPr>
        <sz val="9"/>
        <color rgb="FF000000"/>
        <rFont val="Noto Sans CJK SC"/>
        <family val="2"/>
      </rPr>
      <t>목록 비교</t>
    </r>
  </si>
  <si>
    <t>인덱스 유형 일치</t>
  </si>
  <si>
    <r>
      <rPr>
        <sz val="9"/>
        <color rgb="FF000000"/>
        <rFont val="Arial"/>
        <family val="2"/>
      </rPr>
      <t xml:space="preserve">NORMAL/UNIQUE/FUNCTION-BASED/BITMAP </t>
    </r>
    <r>
      <rPr>
        <sz val="9"/>
        <color rgb="FF000000"/>
        <rFont val="Noto Sans CJK SC"/>
        <family val="2"/>
      </rPr>
      <t>비교</t>
    </r>
  </si>
  <si>
    <r>
      <rPr>
        <sz val="8"/>
        <color rgb="FF000000"/>
        <rFont val="Arial"/>
        <family val="2"/>
      </rPr>
      <t>⚠️ BITMAP</t>
    </r>
    <r>
      <rPr>
        <sz val="8"/>
        <color rgb="FF000000"/>
        <rFont val="Noto Sans CJK SC"/>
        <family val="2"/>
      </rPr>
      <t xml:space="preserve">은 </t>
    </r>
    <r>
      <rPr>
        <sz val="8"/>
        <color rgb="FF000000"/>
        <rFont val="Arial"/>
        <family val="2"/>
      </rPr>
      <t xml:space="preserve">SE </t>
    </r>
    <r>
      <rPr>
        <sz val="8"/>
        <color rgb="FF000000"/>
        <rFont val="Noto Sans CJK SC"/>
        <family val="2"/>
      </rPr>
      <t>미지원</t>
    </r>
  </si>
  <si>
    <r>
      <rPr>
        <sz val="9"/>
        <color rgb="FF000000"/>
        <rFont val="Noto Sans CJK SC"/>
        <family val="2"/>
      </rPr>
      <t xml:space="preserve">인덱스 상태 </t>
    </r>
    <r>
      <rPr>
        <sz val="9"/>
        <color rgb="FF000000"/>
        <rFont val="Arial"/>
        <family val="2"/>
      </rPr>
      <t>(VALID)</t>
    </r>
  </si>
  <si>
    <r>
      <rPr>
        <sz val="9"/>
        <color rgb="FF000000"/>
        <rFont val="Arial"/>
        <family val="2"/>
      </rPr>
      <t xml:space="preserve">STATUS=VALID </t>
    </r>
    <r>
      <rPr>
        <sz val="9"/>
        <color rgb="FF000000"/>
        <rFont val="Noto Sans CJK SC"/>
        <family val="2"/>
      </rPr>
      <t xml:space="preserve">여부 확인 </t>
    </r>
    <r>
      <rPr>
        <sz val="9"/>
        <color rgb="FF000000"/>
        <rFont val="Arial"/>
        <family val="2"/>
      </rPr>
      <t xml:space="preserve">(UNUSABLE </t>
    </r>
    <r>
      <rPr>
        <sz val="9"/>
        <color rgb="FF000000"/>
        <rFont val="Noto Sans CJK SC"/>
        <family val="2"/>
      </rPr>
      <t>없음</t>
    </r>
    <r>
      <rPr>
        <sz val="9"/>
        <color rgb="FF000000"/>
        <rFont val="Arial"/>
        <family val="2"/>
      </rPr>
      <t>)</t>
    </r>
  </si>
  <si>
    <t>인덱스 컬럼 구성 일치</t>
  </si>
  <si>
    <r>
      <rPr>
        <sz val="9"/>
        <color rgb="FF000000"/>
        <rFont val="Arial"/>
        <family val="2"/>
      </rPr>
      <t xml:space="preserve">DBA_IND_COLUMNS </t>
    </r>
    <r>
      <rPr>
        <sz val="9"/>
        <color rgb="FF000000"/>
        <rFont val="Noto Sans CJK SC"/>
        <family val="2"/>
      </rPr>
      <t>컬럼</t>
    </r>
    <r>
      <rPr>
        <sz val="9"/>
        <color rgb="FF000000"/>
        <rFont val="Arial"/>
        <family val="2"/>
      </rPr>
      <t>·</t>
    </r>
    <r>
      <rPr>
        <sz val="9"/>
        <color rgb="FF000000"/>
        <rFont val="Noto Sans CJK SC"/>
        <family val="2"/>
      </rPr>
      <t>순서 비교</t>
    </r>
  </si>
  <si>
    <t>Constraint</t>
  </si>
  <si>
    <r>
      <rPr>
        <sz val="9"/>
        <color rgb="FF000000"/>
        <rFont val="Arial"/>
        <family val="2"/>
      </rPr>
      <t xml:space="preserve">PK </t>
    </r>
    <r>
      <rPr>
        <sz val="9"/>
        <color rgb="FF000000"/>
        <rFont val="Noto Sans CJK SC"/>
        <family val="2"/>
      </rPr>
      <t>제약 일치</t>
    </r>
  </si>
  <si>
    <r>
      <rPr>
        <sz val="9"/>
        <color rgb="FF000000"/>
        <rFont val="Arial"/>
        <family val="2"/>
      </rPr>
      <t xml:space="preserve">DBA_CONSTRAINTS TYPE='P' </t>
    </r>
    <r>
      <rPr>
        <sz val="9"/>
        <color rgb="FF000000"/>
        <rFont val="Noto Sans CJK SC"/>
        <family val="2"/>
      </rPr>
      <t>목록 비교</t>
    </r>
  </si>
  <si>
    <r>
      <rPr>
        <sz val="9"/>
        <color rgb="FF000000"/>
        <rFont val="Arial"/>
        <family val="2"/>
      </rPr>
      <t xml:space="preserve">FK </t>
    </r>
    <r>
      <rPr>
        <sz val="9"/>
        <color rgb="FF000000"/>
        <rFont val="Noto Sans CJK SC"/>
        <family val="2"/>
      </rPr>
      <t>제약 일치 및 활성화</t>
    </r>
  </si>
  <si>
    <r>
      <rPr>
        <sz val="9"/>
        <color rgb="FF000000"/>
        <rFont val="Arial"/>
        <family val="2"/>
      </rPr>
      <t xml:space="preserve">TYPE='R' + STATUS=ENABLED </t>
    </r>
    <r>
      <rPr>
        <sz val="9"/>
        <color rgb="FF000000"/>
        <rFont val="Noto Sans CJK SC"/>
        <family val="2"/>
      </rPr>
      <t>확인</t>
    </r>
  </si>
  <si>
    <r>
      <rPr>
        <sz val="9"/>
        <color rgb="FF000000"/>
        <rFont val="Arial"/>
        <family val="2"/>
      </rPr>
      <t xml:space="preserve">UNIQUE </t>
    </r>
    <r>
      <rPr>
        <sz val="9"/>
        <color rgb="FF000000"/>
        <rFont val="Noto Sans CJK SC"/>
        <family val="2"/>
      </rPr>
      <t>제약 일치</t>
    </r>
  </si>
  <si>
    <r>
      <rPr>
        <sz val="9"/>
        <color rgb="FF000000"/>
        <rFont val="Arial"/>
        <family val="2"/>
      </rPr>
      <t xml:space="preserve">TYPE='U' </t>
    </r>
    <r>
      <rPr>
        <sz val="9"/>
        <color rgb="FF000000"/>
        <rFont val="Noto Sans CJK SC"/>
        <family val="2"/>
      </rPr>
      <t xml:space="preserve">목록 및 </t>
    </r>
    <r>
      <rPr>
        <sz val="9"/>
        <color rgb="FF000000"/>
        <rFont val="Arial"/>
        <family val="2"/>
      </rPr>
      <t xml:space="preserve">STATUS </t>
    </r>
    <r>
      <rPr>
        <sz val="9"/>
        <color rgb="FF000000"/>
        <rFont val="Noto Sans CJK SC"/>
        <family val="2"/>
      </rPr>
      <t>비교</t>
    </r>
  </si>
  <si>
    <r>
      <rPr>
        <sz val="9"/>
        <color rgb="FF000000"/>
        <rFont val="Arial"/>
        <family val="2"/>
      </rPr>
      <t xml:space="preserve">CHECK </t>
    </r>
    <r>
      <rPr>
        <sz val="9"/>
        <color rgb="FF000000"/>
        <rFont val="Noto Sans CJK SC"/>
        <family val="2"/>
      </rPr>
      <t>제약 일치</t>
    </r>
  </si>
  <si>
    <r>
      <rPr>
        <sz val="9"/>
        <color rgb="FF000000"/>
        <rFont val="Arial"/>
        <family val="2"/>
      </rPr>
      <t xml:space="preserve">TYPE='C' SEARCH_CONDITION </t>
    </r>
    <r>
      <rPr>
        <sz val="9"/>
        <color rgb="FF000000"/>
        <rFont val="Noto Sans CJK SC"/>
        <family val="2"/>
      </rPr>
      <t>비교</t>
    </r>
  </si>
  <si>
    <r>
      <rPr>
        <sz val="9"/>
        <color rgb="FF000000"/>
        <rFont val="Arial"/>
        <family val="2"/>
      </rPr>
      <t xml:space="preserve">NOT NULL </t>
    </r>
    <r>
      <rPr>
        <sz val="9"/>
        <color rgb="FF000000"/>
        <rFont val="Noto Sans CJK SC"/>
        <family val="2"/>
      </rPr>
      <t>일치</t>
    </r>
  </si>
  <si>
    <r>
      <rPr>
        <sz val="9"/>
        <color rgb="FF000000"/>
        <rFont val="Noto Sans CJK SC"/>
        <family val="2"/>
      </rPr>
      <t xml:space="preserve">컬럼 레벨 </t>
    </r>
    <r>
      <rPr>
        <sz val="9"/>
        <color rgb="FF000000"/>
        <rFont val="Arial"/>
        <family val="2"/>
      </rPr>
      <t xml:space="preserve">NOT NULL DBA_CONSTRAINTS </t>
    </r>
    <r>
      <rPr>
        <sz val="9"/>
        <color rgb="FF000000"/>
        <rFont val="Noto Sans CJK SC"/>
        <family val="2"/>
      </rPr>
      <t>비교</t>
    </r>
  </si>
  <si>
    <r>
      <rPr>
        <sz val="9"/>
        <color rgb="FF000000"/>
        <rFont val="Arial"/>
        <family val="2"/>
      </rPr>
      <t xml:space="preserve">DISABLED </t>
    </r>
    <r>
      <rPr>
        <sz val="9"/>
        <color rgb="FF000000"/>
        <rFont val="Noto Sans CJK SC"/>
        <family val="2"/>
      </rPr>
      <t>제약 없음</t>
    </r>
  </si>
  <si>
    <r>
      <rPr>
        <sz val="9"/>
        <color rgb="FF000000"/>
        <rFont val="Arial"/>
        <family val="2"/>
      </rPr>
      <t xml:space="preserve">STATUS != 'DISABLED' </t>
    </r>
    <r>
      <rPr>
        <sz val="9"/>
        <color rgb="FF000000"/>
        <rFont val="Noto Sans CJK SC"/>
        <family val="2"/>
      </rPr>
      <t>전체 확인</t>
    </r>
  </si>
  <si>
    <t>View</t>
  </si>
  <si>
    <t>뷰 수 및 이름 일치</t>
  </si>
  <si>
    <r>
      <rPr>
        <sz val="9"/>
        <color rgb="FF000000"/>
        <rFont val="Arial"/>
        <family val="2"/>
      </rPr>
      <t xml:space="preserve">DBA_VIEWS </t>
    </r>
    <r>
      <rPr>
        <sz val="9"/>
        <color rgb="FF000000"/>
        <rFont val="Noto Sans CJK SC"/>
        <family val="2"/>
      </rPr>
      <t>목록 비교</t>
    </r>
  </si>
  <si>
    <r>
      <rPr>
        <sz val="9"/>
        <color rgb="FF000000"/>
        <rFont val="Noto Sans CJK SC"/>
        <family val="2"/>
      </rPr>
      <t xml:space="preserve">뷰 </t>
    </r>
    <r>
      <rPr>
        <sz val="9"/>
        <color rgb="FF000000"/>
        <rFont val="Arial"/>
        <family val="2"/>
      </rPr>
      <t xml:space="preserve">DDL(TEXT) </t>
    </r>
    <r>
      <rPr>
        <sz val="9"/>
        <color rgb="FF000000"/>
        <rFont val="Noto Sans CJK SC"/>
        <family val="2"/>
      </rPr>
      <t>일치</t>
    </r>
  </si>
  <si>
    <r>
      <rPr>
        <sz val="9"/>
        <color rgb="FF000000"/>
        <rFont val="Arial"/>
        <family val="2"/>
      </rPr>
      <t xml:space="preserve">VIEW TEXT </t>
    </r>
    <r>
      <rPr>
        <sz val="9"/>
        <color rgb="FF000000"/>
        <rFont val="Noto Sans CJK SC"/>
        <family val="2"/>
      </rPr>
      <t>소스</t>
    </r>
    <r>
      <rPr>
        <sz val="9"/>
        <color rgb="FF000000"/>
        <rFont val="Arial"/>
        <family val="2"/>
      </rPr>
      <t>/</t>
    </r>
    <r>
      <rPr>
        <sz val="9"/>
        <color rgb="FF000000"/>
        <rFont val="Noto Sans CJK SC"/>
        <family val="2"/>
      </rPr>
      <t>타겟 비교</t>
    </r>
  </si>
  <si>
    <r>
      <rPr>
        <sz val="9"/>
        <color rgb="FF000000"/>
        <rFont val="Noto Sans CJK SC"/>
        <family val="2"/>
      </rPr>
      <t xml:space="preserve">뷰 컴파일 상태 </t>
    </r>
    <r>
      <rPr>
        <sz val="9"/>
        <color rgb="FF000000"/>
        <rFont val="Arial"/>
        <family val="2"/>
      </rPr>
      <t>VALID</t>
    </r>
  </si>
  <si>
    <r>
      <rPr>
        <sz val="9"/>
        <color rgb="FF000000"/>
        <rFont val="Arial"/>
        <family val="2"/>
      </rPr>
      <t xml:space="preserve">DBA_OBJECTS STATUS=VALID </t>
    </r>
    <r>
      <rPr>
        <sz val="9"/>
        <color rgb="FF000000"/>
        <rFont val="Noto Sans CJK SC"/>
        <family val="2"/>
      </rPr>
      <t>확인</t>
    </r>
  </si>
  <si>
    <t>Sequence</t>
  </si>
  <si>
    <t>시퀀스 목록 일치</t>
  </si>
  <si>
    <r>
      <rPr>
        <sz val="9"/>
        <color rgb="FF000000"/>
        <rFont val="Arial"/>
        <family val="2"/>
      </rPr>
      <t xml:space="preserve">DBA_SEQUENCES </t>
    </r>
    <r>
      <rPr>
        <sz val="9"/>
        <color rgb="FF000000"/>
        <rFont val="Noto Sans CJK SC"/>
        <family val="2"/>
      </rPr>
      <t>목록 비교</t>
    </r>
  </si>
  <si>
    <r>
      <rPr>
        <sz val="9"/>
        <color rgb="FF000000"/>
        <rFont val="Arial"/>
        <family val="2"/>
      </rPr>
      <t xml:space="preserve">INCREMENT/MIN/MAX/CACHE </t>
    </r>
    <r>
      <rPr>
        <sz val="9"/>
        <color rgb="FF000000"/>
        <rFont val="Noto Sans CJK SC"/>
        <family val="2"/>
      </rPr>
      <t>일치</t>
    </r>
  </si>
  <si>
    <t>시퀀스 속성값 비교</t>
  </si>
  <si>
    <r>
      <rPr>
        <sz val="9"/>
        <color rgb="FF000000"/>
        <rFont val="Noto Sans CJK SC"/>
        <family val="2"/>
      </rPr>
      <t xml:space="preserve">타겟 </t>
    </r>
    <r>
      <rPr>
        <sz val="9"/>
        <color rgb="FF000000"/>
        <rFont val="Arial"/>
        <family val="2"/>
      </rPr>
      <t xml:space="preserve">LAST_NUMBER ≥ </t>
    </r>
    <r>
      <rPr>
        <sz val="9"/>
        <color rgb="FF000000"/>
        <rFont val="Noto Sans CJK SC"/>
        <family val="2"/>
      </rPr>
      <t xml:space="preserve">소스 </t>
    </r>
    <r>
      <rPr>
        <sz val="9"/>
        <color rgb="FF000000"/>
        <rFont val="Arial"/>
        <family val="2"/>
      </rPr>
      <t>MAX</t>
    </r>
  </si>
  <si>
    <r>
      <rPr>
        <sz val="9"/>
        <color rgb="FF000000"/>
        <rFont val="Noto Sans CJK SC"/>
        <family val="2"/>
      </rPr>
      <t xml:space="preserve">시퀀스 현재값 </t>
    </r>
    <r>
      <rPr>
        <sz val="9"/>
        <color rgb="FF000000"/>
        <rFont val="Arial"/>
        <family val="2"/>
      </rPr>
      <t xml:space="preserve">Gap </t>
    </r>
    <r>
      <rPr>
        <sz val="9"/>
        <color rgb="FF000000"/>
        <rFont val="Noto Sans CJK SC"/>
        <family val="2"/>
      </rPr>
      <t>안전 마진 확인</t>
    </r>
  </si>
  <si>
    <r>
      <rPr>
        <sz val="8"/>
        <color rgb="FF000000"/>
        <rFont val="Arial"/>
        <family val="2"/>
      </rPr>
      <t>⚠️ CACHE</t>
    </r>
    <r>
      <rPr>
        <sz val="8"/>
        <color rgb="FF000000"/>
        <rFont val="Noto Sans CJK SC"/>
        <family val="2"/>
      </rPr>
      <t xml:space="preserve">로 인한 </t>
    </r>
    <r>
      <rPr>
        <sz val="8"/>
        <color rgb="FF000000"/>
        <rFont val="Arial"/>
        <family val="2"/>
      </rPr>
      <t xml:space="preserve">Gap </t>
    </r>
    <r>
      <rPr>
        <sz val="8"/>
        <color rgb="FF000000"/>
        <rFont val="Noto Sans CJK SC"/>
        <family val="2"/>
      </rPr>
      <t>필수 확인</t>
    </r>
  </si>
  <si>
    <t>Synonym</t>
  </si>
  <si>
    <r>
      <rPr>
        <sz val="9"/>
        <color rgb="FF000000"/>
        <rFont val="Arial"/>
        <family val="2"/>
      </rPr>
      <t xml:space="preserve">Public/Private Synonym </t>
    </r>
    <r>
      <rPr>
        <sz val="9"/>
        <color rgb="FF000000"/>
        <rFont val="Noto Sans CJK SC"/>
        <family val="2"/>
      </rPr>
      <t>목록</t>
    </r>
  </si>
  <si>
    <r>
      <rPr>
        <sz val="9"/>
        <color rgb="FF000000"/>
        <rFont val="Arial"/>
        <family val="2"/>
      </rPr>
      <t xml:space="preserve">DBA_SYNONYMS </t>
    </r>
    <r>
      <rPr>
        <sz val="9"/>
        <color rgb="FF000000"/>
        <rFont val="Noto Sans CJK SC"/>
        <family val="2"/>
      </rPr>
      <t>소스</t>
    </r>
    <r>
      <rPr>
        <sz val="9"/>
        <color rgb="FF000000"/>
        <rFont val="Arial"/>
        <family val="2"/>
      </rPr>
      <t>/</t>
    </r>
    <r>
      <rPr>
        <sz val="9"/>
        <color rgb="FF000000"/>
        <rFont val="Noto Sans CJK SC"/>
        <family val="2"/>
      </rPr>
      <t>타겟 비교</t>
    </r>
  </si>
  <si>
    <r>
      <rPr>
        <sz val="9"/>
        <color rgb="FF000000"/>
        <rFont val="Arial"/>
        <family val="2"/>
      </rPr>
      <t xml:space="preserve">Synonym </t>
    </r>
    <r>
      <rPr>
        <sz val="9"/>
        <color rgb="FF000000"/>
        <rFont val="Noto Sans CJK SC"/>
        <family val="2"/>
      </rPr>
      <t>참조 객체 존재</t>
    </r>
  </si>
  <si>
    <r>
      <rPr>
        <sz val="9"/>
        <color rgb="FF000000"/>
        <rFont val="Arial"/>
        <family val="2"/>
      </rPr>
      <t xml:space="preserve">OBJECT_NAME </t>
    </r>
    <r>
      <rPr>
        <sz val="9"/>
        <color rgb="FF000000"/>
        <rFont val="Noto Sans CJK SC"/>
        <family val="2"/>
      </rPr>
      <t>타겟에 실제 존재 여부</t>
    </r>
  </si>
  <si>
    <t>Procedure/Function</t>
  </si>
  <si>
    <t>객체 수 일치</t>
  </si>
  <si>
    <r>
      <rPr>
        <sz val="9"/>
        <color rgb="FF000000"/>
        <rFont val="Arial"/>
        <family val="2"/>
      </rPr>
      <t xml:space="preserve">DBA_PROCEDURES </t>
    </r>
    <r>
      <rPr>
        <sz val="9"/>
        <color rgb="FF000000"/>
        <rFont val="Noto Sans CJK SC"/>
        <family val="2"/>
      </rPr>
      <t>목록 비교</t>
    </r>
  </si>
  <si>
    <r>
      <rPr>
        <sz val="9"/>
        <color rgb="FF000000"/>
        <rFont val="Noto Sans CJK SC"/>
        <family val="2"/>
      </rPr>
      <t xml:space="preserve">컴파일 상태 </t>
    </r>
    <r>
      <rPr>
        <sz val="9"/>
        <color rgb="FF000000"/>
        <rFont val="Arial"/>
        <family val="2"/>
      </rPr>
      <t>VALID</t>
    </r>
  </si>
  <si>
    <r>
      <rPr>
        <sz val="9"/>
        <color rgb="FF000000"/>
        <rFont val="Arial"/>
        <family val="2"/>
      </rPr>
      <t>DBA_OBJECTS STATUS=VALID (INVALID 0</t>
    </r>
    <r>
      <rPr>
        <sz val="9"/>
        <color rgb="FF000000"/>
        <rFont val="Noto Sans CJK SC"/>
        <family val="2"/>
      </rPr>
      <t>건</t>
    </r>
    <r>
      <rPr>
        <sz val="9"/>
        <color rgb="FF000000"/>
        <rFont val="Arial"/>
        <family val="2"/>
      </rPr>
      <t>)</t>
    </r>
  </si>
  <si>
    <r>
      <rPr>
        <sz val="9"/>
        <color rgb="FF000000"/>
        <rFont val="Arial"/>
        <family val="2"/>
      </rPr>
      <t xml:space="preserve">DDL </t>
    </r>
    <r>
      <rPr>
        <sz val="9"/>
        <color rgb="FF000000"/>
        <rFont val="Noto Sans CJK SC"/>
        <family val="2"/>
      </rPr>
      <t>소스 일치</t>
    </r>
  </si>
  <si>
    <r>
      <rPr>
        <sz val="9"/>
        <color rgb="FF000000"/>
        <rFont val="Arial"/>
        <family val="2"/>
      </rPr>
      <t xml:space="preserve">DBA_SOURCE TEXT </t>
    </r>
    <r>
      <rPr>
        <sz val="9"/>
        <color rgb="FF000000"/>
        <rFont val="Noto Sans CJK SC"/>
        <family val="2"/>
      </rPr>
      <t>비교</t>
    </r>
  </si>
  <si>
    <t>Package</t>
  </si>
  <si>
    <r>
      <rPr>
        <sz val="9"/>
        <color rgb="FF000000"/>
        <rFont val="Arial"/>
        <family val="2"/>
      </rPr>
      <t xml:space="preserve">Package/Body </t>
    </r>
    <r>
      <rPr>
        <sz val="9"/>
        <color rgb="FF000000"/>
        <rFont val="Noto Sans CJK SC"/>
        <family val="2"/>
      </rPr>
      <t>목록 일치</t>
    </r>
  </si>
  <si>
    <t>DBA_OBJECTS TYPE IN ('PACKAGE','PACKAGE BODY')</t>
  </si>
  <si>
    <r>
      <rPr>
        <sz val="9"/>
        <color rgb="FF000000"/>
        <rFont val="Arial"/>
        <family val="2"/>
      </rPr>
      <t xml:space="preserve">Package </t>
    </r>
    <r>
      <rPr>
        <sz val="9"/>
        <color rgb="FF000000"/>
        <rFont val="Noto Sans CJK SC"/>
        <family val="2"/>
      </rPr>
      <t>컴파일 상태</t>
    </r>
  </si>
  <si>
    <r>
      <rPr>
        <sz val="9"/>
        <color rgb="FF000000"/>
        <rFont val="Arial"/>
        <family val="2"/>
      </rPr>
      <t xml:space="preserve">STATUS=VALID </t>
    </r>
    <r>
      <rPr>
        <sz val="9"/>
        <color rgb="FF000000"/>
        <rFont val="Noto Sans CJK SC"/>
        <family val="2"/>
      </rPr>
      <t>확인</t>
    </r>
  </si>
  <si>
    <t>User/Role</t>
  </si>
  <si>
    <t>사용자 목록 일치</t>
  </si>
  <si>
    <r>
      <rPr>
        <sz val="9"/>
        <color rgb="FF000000"/>
        <rFont val="Arial"/>
        <family val="2"/>
      </rPr>
      <t xml:space="preserve">DBA_USERS </t>
    </r>
    <r>
      <rPr>
        <sz val="9"/>
        <color rgb="FF000000"/>
        <rFont val="Noto Sans CJK SC"/>
        <family val="2"/>
      </rPr>
      <t xml:space="preserve">비교 </t>
    </r>
    <r>
      <rPr>
        <sz val="9"/>
        <color rgb="FF000000"/>
        <rFont val="Arial"/>
        <family val="2"/>
      </rPr>
      <t>(</t>
    </r>
    <r>
      <rPr>
        <sz val="9"/>
        <color rgb="FF000000"/>
        <rFont val="Noto Sans CJK SC"/>
        <family val="2"/>
      </rPr>
      <t>시스템 계정 제외</t>
    </r>
    <r>
      <rPr>
        <sz val="9"/>
        <color rgb="FF000000"/>
        <rFont val="Arial"/>
        <family val="2"/>
      </rPr>
      <t>)</t>
    </r>
  </si>
  <si>
    <t>롤 부여 현황 일치</t>
  </si>
  <si>
    <r>
      <rPr>
        <sz val="9"/>
        <color rgb="FF000000"/>
        <rFont val="Arial"/>
        <family val="2"/>
      </rPr>
      <t xml:space="preserve">DBA_ROLE_PRIVS </t>
    </r>
    <r>
      <rPr>
        <sz val="9"/>
        <color rgb="FF000000"/>
        <rFont val="Noto Sans CJK SC"/>
        <family val="2"/>
      </rPr>
      <t>비교</t>
    </r>
  </si>
  <si>
    <t>시스템 권한 일치</t>
  </si>
  <si>
    <r>
      <rPr>
        <sz val="9"/>
        <color rgb="FF000000"/>
        <rFont val="Arial"/>
        <family val="2"/>
      </rPr>
      <t xml:space="preserve">DBA_SYS_PRIVS </t>
    </r>
    <r>
      <rPr>
        <sz val="9"/>
        <color rgb="FF000000"/>
        <rFont val="Noto Sans CJK SC"/>
        <family val="2"/>
      </rPr>
      <t>비교</t>
    </r>
  </si>
  <si>
    <t>객체 권한 일치</t>
  </si>
  <si>
    <r>
      <rPr>
        <sz val="9"/>
        <color rgb="FF000000"/>
        <rFont val="Arial"/>
        <family val="2"/>
      </rPr>
      <t xml:space="preserve">DBA_TAB_PRIVS </t>
    </r>
    <r>
      <rPr>
        <sz val="9"/>
        <color rgb="FF000000"/>
        <rFont val="Noto Sans CJK SC"/>
        <family val="2"/>
      </rPr>
      <t>비교</t>
    </r>
  </si>
  <si>
    <t>Tablespace</t>
  </si>
  <si>
    <t>테이블스페이스 목록</t>
  </si>
  <si>
    <r>
      <rPr>
        <sz val="9"/>
        <color rgb="FF000000"/>
        <rFont val="Arial"/>
        <family val="2"/>
      </rPr>
      <t xml:space="preserve">DBA_TABLESPACES </t>
    </r>
    <r>
      <rPr>
        <sz val="9"/>
        <color rgb="FF000000"/>
        <rFont val="Noto Sans CJK SC"/>
        <family val="2"/>
      </rPr>
      <t>비교</t>
    </r>
  </si>
  <si>
    <r>
      <rPr>
        <sz val="9"/>
        <color rgb="FF000000"/>
        <rFont val="Noto Sans CJK SC"/>
        <family val="2"/>
      </rPr>
      <t xml:space="preserve">객체 → </t>
    </r>
    <r>
      <rPr>
        <sz val="9"/>
        <color rgb="FF000000"/>
        <rFont val="Arial"/>
        <family val="2"/>
      </rPr>
      <t xml:space="preserve">Tablespace </t>
    </r>
    <r>
      <rPr>
        <sz val="9"/>
        <color rgb="FF000000"/>
        <rFont val="Noto Sans CJK SC"/>
        <family val="2"/>
      </rPr>
      <t>매핑</t>
    </r>
  </si>
  <si>
    <r>
      <rPr>
        <sz val="9"/>
        <color rgb="FF000000"/>
        <rFont val="Arial"/>
        <family val="2"/>
      </rPr>
      <t xml:space="preserve">DBA_SEGMENTS TABLESPACE_NAME </t>
    </r>
    <r>
      <rPr>
        <sz val="9"/>
        <color rgb="FF000000"/>
        <rFont val="Noto Sans CJK SC"/>
        <family val="2"/>
      </rPr>
      <t>비교</t>
    </r>
  </si>
  <si>
    <t>Directory</t>
  </si>
  <si>
    <r>
      <rPr>
        <sz val="9"/>
        <color rgb="FF000000"/>
        <rFont val="Arial"/>
        <family val="2"/>
      </rPr>
      <t xml:space="preserve">Directory Object </t>
    </r>
    <r>
      <rPr>
        <sz val="9"/>
        <color rgb="FF000000"/>
        <rFont val="Noto Sans CJK SC"/>
        <family val="2"/>
      </rPr>
      <t>목록</t>
    </r>
  </si>
  <si>
    <r>
      <rPr>
        <sz val="9"/>
        <color rgb="FF000000"/>
        <rFont val="Arial"/>
        <family val="2"/>
      </rPr>
      <t xml:space="preserve">DBA_DIRECTORIES </t>
    </r>
    <r>
      <rPr>
        <sz val="9"/>
        <color rgb="FF000000"/>
        <rFont val="Noto Sans CJK SC"/>
        <family val="2"/>
      </rPr>
      <t>비교</t>
    </r>
  </si>
  <si>
    <t>External Table</t>
  </si>
  <si>
    <r>
      <rPr>
        <sz val="9"/>
        <color rgb="FF000000"/>
        <rFont val="Arial"/>
        <family val="2"/>
      </rPr>
      <t xml:space="preserve">External Table </t>
    </r>
    <r>
      <rPr>
        <sz val="9"/>
        <color rgb="FF000000"/>
        <rFont val="Noto Sans CJK SC"/>
        <family val="2"/>
      </rPr>
      <t>목록</t>
    </r>
  </si>
  <si>
    <r>
      <rPr>
        <sz val="9"/>
        <color rgb="FF000000"/>
        <rFont val="Arial"/>
        <family val="2"/>
      </rPr>
      <t xml:space="preserve">DBA_EXTERNAL_TABLES </t>
    </r>
    <r>
      <rPr>
        <sz val="9"/>
        <color rgb="FF000000"/>
        <rFont val="Noto Sans CJK SC"/>
        <family val="2"/>
      </rPr>
      <t>비교</t>
    </r>
  </si>
  <si>
    <r>
      <rPr>
        <b/>
        <sz val="9"/>
        <color rgb="FF000000"/>
        <rFont val="Arial"/>
        <family val="2"/>
      </rPr>
      <t xml:space="preserve">INVALID </t>
    </r>
    <r>
      <rPr>
        <b/>
        <sz val="9"/>
        <color rgb="FF000000"/>
        <rFont val="Noto Sans CJK SC"/>
        <family val="2"/>
      </rPr>
      <t>객체</t>
    </r>
  </si>
  <si>
    <r>
      <rPr>
        <sz val="9"/>
        <color rgb="FF000000"/>
        <rFont val="Arial"/>
        <family val="2"/>
      </rPr>
      <t xml:space="preserve">INVALID </t>
    </r>
    <r>
      <rPr>
        <sz val="9"/>
        <color rgb="FF000000"/>
        <rFont val="Noto Sans CJK SC"/>
        <family val="2"/>
      </rPr>
      <t xml:space="preserve">객체 </t>
    </r>
    <r>
      <rPr>
        <sz val="9"/>
        <color rgb="FF000000"/>
        <rFont val="Arial"/>
        <family val="2"/>
      </rPr>
      <t>0</t>
    </r>
    <r>
      <rPr>
        <sz val="9"/>
        <color rgb="FF000000"/>
        <rFont val="Noto Sans CJK SC"/>
        <family val="2"/>
      </rPr>
      <t>건 확인</t>
    </r>
  </si>
  <si>
    <r>
      <rPr>
        <sz val="9"/>
        <color rgb="FF000000"/>
        <rFont val="Arial"/>
        <family val="2"/>
      </rPr>
      <t xml:space="preserve">DBA_OBJECTS STATUS=INVALID </t>
    </r>
    <r>
      <rPr>
        <sz val="9"/>
        <color rgb="FF000000"/>
        <rFont val="Noto Sans CJK SC"/>
        <family val="2"/>
      </rPr>
      <t>전수 조회</t>
    </r>
  </si>
  <si>
    <r>
      <rPr>
        <sz val="9"/>
        <color rgb="FF000000"/>
        <rFont val="Arial"/>
        <family val="2"/>
      </rPr>
      <t xml:space="preserve">INVALID </t>
    </r>
    <r>
      <rPr>
        <sz val="9"/>
        <color rgb="FF000000"/>
        <rFont val="Noto Sans CJK SC"/>
        <family val="2"/>
      </rPr>
      <t>객체 재컴파일</t>
    </r>
  </si>
  <si>
    <r>
      <rPr>
        <sz val="9"/>
        <color rgb="FF000000"/>
        <rFont val="Arial"/>
        <family val="2"/>
      </rPr>
      <t xml:space="preserve">DBMS_UTILITY.COMPILE_SCHEMA </t>
    </r>
    <r>
      <rPr>
        <sz val="9"/>
        <color rgb="FF000000"/>
        <rFont val="Noto Sans CJK SC"/>
        <family val="2"/>
      </rPr>
      <t>실행 후 재확인</t>
    </r>
  </si>
  <si>
    <t>검증 유형</t>
  </si>
  <si>
    <r>
      <rPr>
        <b/>
        <sz val="11"/>
        <color rgb="FFFFFFFF"/>
        <rFont val="Noto Sans CJK SC"/>
        <family val="2"/>
      </rPr>
      <t xml:space="preserve">검증 방법 </t>
    </r>
    <r>
      <rPr>
        <b/>
        <sz val="11"/>
        <color rgb="FFFFFFFF"/>
        <rFont val="Arial"/>
        <family val="2"/>
      </rPr>
      <t xml:space="preserve">/ SQL </t>
    </r>
    <r>
      <rPr>
        <b/>
        <sz val="11"/>
        <color rgb="FFFFFFFF"/>
        <rFont val="Noto Sans CJK SC"/>
        <family val="2"/>
      </rPr>
      <t>포인트</t>
    </r>
  </si>
  <si>
    <r>
      <rPr>
        <b/>
        <sz val="11"/>
        <color rgb="FF000000"/>
        <rFont val="Noto Sans CJK SC"/>
        <family val="2"/>
      </rPr>
      <t xml:space="preserve">▶  데이터 정합성 검증 </t>
    </r>
    <r>
      <rPr>
        <b/>
        <sz val="11"/>
        <color rgb="FF000000"/>
        <rFont val="Arial"/>
        <family val="2"/>
      </rPr>
      <t>(Data Validation) — Row Count·Checksum·</t>
    </r>
    <r>
      <rPr>
        <b/>
        <sz val="11"/>
        <color rgb="FF000000"/>
        <rFont val="Noto Sans CJK SC"/>
        <family val="2"/>
      </rPr>
      <t>샘플</t>
    </r>
    <r>
      <rPr>
        <b/>
        <sz val="11"/>
        <color rgb="FF000000"/>
        <rFont val="Arial"/>
        <family val="2"/>
      </rPr>
      <t>·LOB·</t>
    </r>
    <r>
      <rPr>
        <b/>
        <sz val="11"/>
        <color rgb="FF000000"/>
        <rFont val="Noto Sans CJK SC"/>
        <family val="2"/>
      </rPr>
      <t>특수 데이터</t>
    </r>
  </si>
  <si>
    <t>Row Count</t>
  </si>
  <si>
    <r>
      <rPr>
        <sz val="9"/>
        <color rgb="FF000000"/>
        <rFont val="Noto Sans CJK SC"/>
        <family val="2"/>
      </rPr>
      <t xml:space="preserve">전체 테이블 </t>
    </r>
    <r>
      <rPr>
        <sz val="9"/>
        <color rgb="FF000000"/>
        <rFont val="Arial"/>
        <family val="2"/>
      </rPr>
      <t xml:space="preserve">Row Count </t>
    </r>
    <r>
      <rPr>
        <sz val="9"/>
        <color rgb="FF000000"/>
        <rFont val="Noto Sans CJK SC"/>
        <family val="2"/>
      </rPr>
      <t>일치</t>
    </r>
  </si>
  <si>
    <r>
      <rPr>
        <sz val="9"/>
        <color rgb="FF000000"/>
        <rFont val="Arial"/>
        <family val="2"/>
      </rPr>
      <t xml:space="preserve">DBA_TABLES </t>
    </r>
    <r>
      <rPr>
        <sz val="9"/>
        <color rgb="FF000000"/>
        <rFont val="Noto Sans CJK SC"/>
        <family val="2"/>
      </rPr>
      <t xml:space="preserve">기준 전체 테이블 </t>
    </r>
    <r>
      <rPr>
        <sz val="9"/>
        <color rgb="FF000000"/>
        <rFont val="Arial"/>
        <family val="2"/>
      </rPr>
      <t xml:space="preserve">COUNT(*) </t>
    </r>
    <r>
      <rPr>
        <sz val="9"/>
        <color rgb="FF000000"/>
        <rFont val="Noto Sans CJK SC"/>
        <family val="2"/>
      </rPr>
      <t>비교</t>
    </r>
  </si>
  <si>
    <t>대용량 테이블 별도 검증</t>
  </si>
  <si>
    <r>
      <rPr>
        <sz val="9"/>
        <color rgb="FF000000"/>
        <rFont val="Arial"/>
        <family val="2"/>
      </rPr>
      <t>1</t>
    </r>
    <r>
      <rPr>
        <sz val="9"/>
        <color rgb="FF000000"/>
        <rFont val="Noto Sans CJK SC"/>
        <family val="2"/>
      </rPr>
      <t>억 건 이상 테이블 파티션 단위 분할 비교</t>
    </r>
  </si>
  <si>
    <t>마이그레이션 중 발생 건수</t>
  </si>
  <si>
    <r>
      <rPr>
        <sz val="9"/>
        <color rgb="FF000000"/>
        <rFont val="Arial"/>
        <family val="2"/>
      </rPr>
      <t xml:space="preserve">SCN </t>
    </r>
    <r>
      <rPr>
        <sz val="9"/>
        <color rgb="FF000000"/>
        <rFont val="Noto Sans CJK SC"/>
        <family val="2"/>
      </rPr>
      <t xml:space="preserve">고정 후 소스 카운트 </t>
    </r>
    <r>
      <rPr>
        <sz val="9"/>
        <color rgb="FF000000"/>
        <rFont val="Arial"/>
        <family val="2"/>
      </rPr>
      <t xml:space="preserve">vs </t>
    </r>
    <r>
      <rPr>
        <sz val="9"/>
        <color rgb="FF000000"/>
        <rFont val="Noto Sans CJK SC"/>
        <family val="2"/>
      </rPr>
      <t>타겟 비교</t>
    </r>
  </si>
  <si>
    <t>Checksum</t>
  </si>
  <si>
    <r>
      <rPr>
        <sz val="9"/>
        <color rgb="FF000000"/>
        <rFont val="Arial"/>
        <family val="2"/>
      </rPr>
      <t xml:space="preserve">ORA_HASH </t>
    </r>
    <r>
      <rPr>
        <sz val="9"/>
        <color rgb="FF000000"/>
        <rFont val="Noto Sans CJK SC"/>
        <family val="2"/>
      </rPr>
      <t>집계 비교</t>
    </r>
  </si>
  <si>
    <r>
      <rPr>
        <sz val="9"/>
        <color rgb="FF000000"/>
        <rFont val="Arial"/>
        <family val="2"/>
      </rPr>
      <t xml:space="preserve">SUM(ORA_HASH(PK||col…)) </t>
    </r>
    <r>
      <rPr>
        <sz val="9"/>
        <color rgb="FF000000"/>
        <rFont val="Noto Sans CJK SC"/>
        <family val="2"/>
      </rPr>
      <t>소스</t>
    </r>
    <r>
      <rPr>
        <sz val="9"/>
        <color rgb="FF000000"/>
        <rFont val="Arial"/>
        <family val="2"/>
      </rPr>
      <t>/</t>
    </r>
    <r>
      <rPr>
        <sz val="9"/>
        <color rgb="FF000000"/>
        <rFont val="Noto Sans CJK SC"/>
        <family val="2"/>
      </rPr>
      <t>타겟 동일 쿼리 비교</t>
    </r>
  </si>
  <si>
    <t>핵심 테이블 컬럼 집계 비교</t>
  </si>
  <si>
    <r>
      <rPr>
        <sz val="9"/>
        <color rgb="FF000000"/>
        <rFont val="Arial"/>
        <family val="2"/>
      </rPr>
      <t xml:space="preserve">SUM/MIN/MAX/AVG </t>
    </r>
    <r>
      <rPr>
        <sz val="9"/>
        <color rgb="FF000000"/>
        <rFont val="Noto Sans CJK SC"/>
        <family val="2"/>
      </rPr>
      <t>숫자형 컬럼 집계값 비교</t>
    </r>
  </si>
  <si>
    <r>
      <rPr>
        <sz val="9"/>
        <color rgb="FF000000"/>
        <rFont val="Arial"/>
        <family val="2"/>
      </rPr>
      <t xml:space="preserve">Distinct Count </t>
    </r>
    <r>
      <rPr>
        <sz val="9"/>
        <color rgb="FF000000"/>
        <rFont val="Noto Sans CJK SC"/>
        <family val="2"/>
      </rPr>
      <t>비교</t>
    </r>
  </si>
  <si>
    <r>
      <rPr>
        <sz val="9"/>
        <color rgb="FF000000"/>
        <rFont val="Noto Sans CJK SC"/>
        <family val="2"/>
      </rPr>
      <t xml:space="preserve">주요 컬럼 </t>
    </r>
    <r>
      <rPr>
        <sz val="9"/>
        <color rgb="FF000000"/>
        <rFont val="Arial"/>
        <family val="2"/>
      </rPr>
      <t xml:space="preserve">COUNT(DISTINCT) </t>
    </r>
    <r>
      <rPr>
        <sz val="9"/>
        <color rgb="FF000000"/>
        <rFont val="Noto Sans CJK SC"/>
        <family val="2"/>
      </rPr>
      <t>소스</t>
    </r>
    <r>
      <rPr>
        <sz val="9"/>
        <color rgb="FF000000"/>
        <rFont val="Arial"/>
        <family val="2"/>
      </rPr>
      <t>/</t>
    </r>
    <r>
      <rPr>
        <sz val="9"/>
        <color rgb="FF000000"/>
        <rFont val="Noto Sans CJK SC"/>
        <family val="2"/>
      </rPr>
      <t>타겟 비교</t>
    </r>
  </si>
  <si>
    <t>샘플 데이터</t>
  </si>
  <si>
    <r>
      <rPr>
        <sz val="9"/>
        <color rgb="FF000000"/>
        <rFont val="Arial"/>
        <family val="2"/>
      </rPr>
      <t xml:space="preserve">PK </t>
    </r>
    <r>
      <rPr>
        <sz val="9"/>
        <color rgb="FF000000"/>
        <rFont val="Noto Sans CJK SC"/>
        <family val="2"/>
      </rPr>
      <t>기준 행 단위 비교</t>
    </r>
  </si>
  <si>
    <r>
      <rPr>
        <sz val="9"/>
        <color rgb="FF000000"/>
        <rFont val="Arial"/>
        <family val="2"/>
      </rPr>
      <t xml:space="preserve">PK </t>
    </r>
    <r>
      <rPr>
        <sz val="9"/>
        <color rgb="FF000000"/>
        <rFont val="Noto Sans CJK SC"/>
        <family val="2"/>
      </rPr>
      <t>값 기준 소스</t>
    </r>
    <r>
      <rPr>
        <sz val="9"/>
        <color rgb="FF000000"/>
        <rFont val="Arial"/>
        <family val="2"/>
      </rPr>
      <t>/</t>
    </r>
    <r>
      <rPr>
        <sz val="9"/>
        <color rgb="FF000000"/>
        <rFont val="Noto Sans CJK SC"/>
        <family val="2"/>
      </rPr>
      <t xml:space="preserve">타겟 컬럼값 직접 비교 </t>
    </r>
    <r>
      <rPr>
        <sz val="9"/>
        <color rgb="FF000000"/>
        <rFont val="Arial"/>
        <family val="2"/>
      </rPr>
      <t>(</t>
    </r>
    <r>
      <rPr>
        <sz val="9"/>
        <color rgb="FF000000"/>
        <rFont val="Noto Sans CJK SC"/>
        <family val="2"/>
      </rPr>
      <t xml:space="preserve">상위 </t>
    </r>
    <r>
      <rPr>
        <sz val="9"/>
        <color rgb="FF000000"/>
        <rFont val="Arial"/>
        <family val="2"/>
      </rPr>
      <t>1000</t>
    </r>
    <r>
      <rPr>
        <sz val="9"/>
        <color rgb="FF000000"/>
        <rFont val="Noto Sans CJK SC"/>
        <family val="2"/>
      </rPr>
      <t>건</t>
    </r>
    <r>
      <rPr>
        <sz val="9"/>
        <color rgb="FF000000"/>
        <rFont val="Arial"/>
        <family val="2"/>
      </rPr>
      <t>)</t>
    </r>
  </si>
  <si>
    <t>최신 데이터 비교</t>
  </si>
  <si>
    <r>
      <rPr>
        <sz val="9"/>
        <color rgb="FF000000"/>
        <rFont val="Arial"/>
        <family val="2"/>
      </rPr>
      <t xml:space="preserve">MAX(updated_date) </t>
    </r>
    <r>
      <rPr>
        <sz val="9"/>
        <color rgb="FF000000"/>
        <rFont val="Noto Sans CJK SC"/>
        <family val="2"/>
      </rPr>
      <t xml:space="preserve">기준 최근 </t>
    </r>
    <r>
      <rPr>
        <sz val="9"/>
        <color rgb="FF000000"/>
        <rFont val="Arial"/>
        <family val="2"/>
      </rPr>
      <t>100</t>
    </r>
    <r>
      <rPr>
        <sz val="9"/>
        <color rgb="FF000000"/>
        <rFont val="Noto Sans CJK SC"/>
        <family val="2"/>
      </rPr>
      <t>건 비교</t>
    </r>
  </si>
  <si>
    <r>
      <rPr>
        <sz val="9"/>
        <color rgb="FF000000"/>
        <rFont val="Arial"/>
        <family val="2"/>
      </rPr>
      <t xml:space="preserve">NULL </t>
    </r>
    <r>
      <rPr>
        <sz val="9"/>
        <color rgb="FF000000"/>
        <rFont val="Noto Sans CJK SC"/>
        <family val="2"/>
      </rPr>
      <t>비율 비교</t>
    </r>
  </si>
  <si>
    <r>
      <rPr>
        <sz val="9"/>
        <color rgb="FF000000"/>
        <rFont val="Noto Sans CJK SC"/>
        <family val="2"/>
      </rPr>
      <t xml:space="preserve">컬럼별 </t>
    </r>
    <r>
      <rPr>
        <sz val="9"/>
        <color rgb="FF000000"/>
        <rFont val="Arial"/>
        <family val="2"/>
      </rPr>
      <t xml:space="preserve">NULL COUNT </t>
    </r>
    <r>
      <rPr>
        <sz val="9"/>
        <color rgb="FF000000"/>
        <rFont val="Noto Sans CJK SC"/>
        <family val="2"/>
      </rPr>
      <t>소스</t>
    </r>
    <r>
      <rPr>
        <sz val="9"/>
        <color rgb="FF000000"/>
        <rFont val="Arial"/>
        <family val="2"/>
      </rPr>
      <t>/</t>
    </r>
    <r>
      <rPr>
        <sz val="9"/>
        <color rgb="FF000000"/>
        <rFont val="Noto Sans CJK SC"/>
        <family val="2"/>
      </rPr>
      <t>타겟 비교</t>
    </r>
  </si>
  <si>
    <t>LOB</t>
  </si>
  <si>
    <r>
      <rPr>
        <sz val="9"/>
        <color rgb="FF000000"/>
        <rFont val="Arial"/>
        <family val="2"/>
      </rPr>
      <t xml:space="preserve">LOB </t>
    </r>
    <r>
      <rPr>
        <sz val="9"/>
        <color rgb="FF000000"/>
        <rFont val="Noto Sans CJK SC"/>
        <family val="2"/>
      </rPr>
      <t>컬럼 건수 일치</t>
    </r>
  </si>
  <si>
    <r>
      <rPr>
        <sz val="9"/>
        <color rgb="FF000000"/>
        <rFont val="Arial"/>
        <family val="2"/>
      </rPr>
      <t xml:space="preserve">CLOB/BLOB/NCLOB </t>
    </r>
    <r>
      <rPr>
        <sz val="9"/>
        <color rgb="FF000000"/>
        <rFont val="Noto Sans CJK SC"/>
        <family val="2"/>
      </rPr>
      <t xml:space="preserve">포함 테이블 </t>
    </r>
    <r>
      <rPr>
        <sz val="9"/>
        <color rgb="FF000000"/>
        <rFont val="Arial"/>
        <family val="2"/>
      </rPr>
      <t xml:space="preserve">Row Count </t>
    </r>
    <r>
      <rPr>
        <sz val="9"/>
        <color rgb="FF000000"/>
        <rFont val="Noto Sans CJK SC"/>
        <family val="2"/>
      </rPr>
      <t>비교</t>
    </r>
  </si>
  <si>
    <r>
      <rPr>
        <sz val="9"/>
        <color rgb="FF000000"/>
        <rFont val="Arial"/>
        <family val="2"/>
      </rPr>
      <t xml:space="preserve">LOB </t>
    </r>
    <r>
      <rPr>
        <sz val="9"/>
        <color rgb="FF000000"/>
        <rFont val="Noto Sans CJK SC"/>
        <family val="2"/>
      </rPr>
      <t xml:space="preserve">총 </t>
    </r>
    <r>
      <rPr>
        <sz val="9"/>
        <color rgb="FF000000"/>
        <rFont val="Arial"/>
        <family val="2"/>
      </rPr>
      <t xml:space="preserve">SIZE </t>
    </r>
    <r>
      <rPr>
        <sz val="9"/>
        <color rgb="FF000000"/>
        <rFont val="Noto Sans CJK SC"/>
        <family val="2"/>
      </rPr>
      <t>비교</t>
    </r>
  </si>
  <si>
    <r>
      <rPr>
        <sz val="9"/>
        <color rgb="FF000000"/>
        <rFont val="Arial"/>
        <family val="2"/>
      </rPr>
      <t xml:space="preserve">SUM(DBMS_LOB.GETLENGTH) </t>
    </r>
    <r>
      <rPr>
        <sz val="9"/>
        <color rgb="FF000000"/>
        <rFont val="Noto Sans CJK SC"/>
        <family val="2"/>
      </rPr>
      <t>소스</t>
    </r>
    <r>
      <rPr>
        <sz val="9"/>
        <color rgb="FF000000"/>
        <rFont val="Arial"/>
        <family val="2"/>
      </rPr>
      <t>/</t>
    </r>
    <r>
      <rPr>
        <sz val="9"/>
        <color rgb="FF000000"/>
        <rFont val="Noto Sans CJK SC"/>
        <family val="2"/>
      </rPr>
      <t>타겟 비교</t>
    </r>
  </si>
  <si>
    <r>
      <rPr>
        <sz val="9"/>
        <color rgb="FF000000"/>
        <rFont val="Arial"/>
        <family val="2"/>
      </rPr>
      <t xml:space="preserve">LOB MD5 </t>
    </r>
    <r>
      <rPr>
        <sz val="9"/>
        <color rgb="FF000000"/>
        <rFont val="Noto Sans CJK SC"/>
        <family val="2"/>
      </rPr>
      <t>해시 샘플 검증</t>
    </r>
  </si>
  <si>
    <r>
      <rPr>
        <sz val="9"/>
        <color rgb="FF000000"/>
        <rFont val="Arial"/>
        <family val="2"/>
      </rPr>
      <t xml:space="preserve">DBMS_CRYPTO.HASH(MD5) </t>
    </r>
    <r>
      <rPr>
        <sz val="9"/>
        <color rgb="FF000000"/>
        <rFont val="Noto Sans CJK SC"/>
        <family val="2"/>
      </rPr>
      <t>샘플 비교</t>
    </r>
  </si>
  <si>
    <r>
      <rPr>
        <sz val="9"/>
        <color rgb="FF000000"/>
        <rFont val="Arial"/>
        <family val="2"/>
      </rPr>
      <t xml:space="preserve">EMPTY_LOB vs NULL </t>
    </r>
    <r>
      <rPr>
        <sz val="9"/>
        <color rgb="FF000000"/>
        <rFont val="Noto Sans CJK SC"/>
        <family val="2"/>
      </rPr>
      <t>처리 일관성</t>
    </r>
  </si>
  <si>
    <r>
      <rPr>
        <sz val="9"/>
        <color rgb="FF000000"/>
        <rFont val="Arial"/>
        <family val="2"/>
      </rPr>
      <t>EMPTY_CLOB()·EMPTY_BLOB()</t>
    </r>
    <r>
      <rPr>
        <sz val="9"/>
        <color rgb="FF000000"/>
        <rFont val="Noto Sans CJK SC"/>
        <family val="2"/>
      </rPr>
      <t xml:space="preserve">과 </t>
    </r>
    <r>
      <rPr>
        <sz val="9"/>
        <color rgb="FF000000"/>
        <rFont val="Arial"/>
        <family val="2"/>
      </rPr>
      <t xml:space="preserve">NULL </t>
    </r>
    <r>
      <rPr>
        <sz val="9"/>
        <color rgb="FF000000"/>
        <rFont val="Noto Sans CJK SC"/>
        <family val="2"/>
      </rPr>
      <t>구분 확인</t>
    </r>
  </si>
  <si>
    <r>
      <rPr>
        <sz val="9"/>
        <color rgb="FF000000"/>
        <rFont val="Arial"/>
        <family val="2"/>
      </rPr>
      <t xml:space="preserve">BasicFile vs SecureFile </t>
    </r>
    <r>
      <rPr>
        <sz val="9"/>
        <color rgb="FF000000"/>
        <rFont val="Noto Sans CJK SC"/>
        <family val="2"/>
      </rPr>
      <t>전환 확인</t>
    </r>
  </si>
  <si>
    <r>
      <rPr>
        <sz val="9"/>
        <color rgb="FF000000"/>
        <rFont val="Arial"/>
        <family val="2"/>
      </rPr>
      <t xml:space="preserve">DBA_LOBS.SECUREFILE </t>
    </r>
    <r>
      <rPr>
        <sz val="9"/>
        <color rgb="FF000000"/>
        <rFont val="Noto Sans CJK SC"/>
        <family val="2"/>
      </rPr>
      <t>속성 타겟 확인</t>
    </r>
  </si>
  <si>
    <t>데이터 타입</t>
  </si>
  <si>
    <r>
      <rPr>
        <sz val="9"/>
        <color rgb="FF000000"/>
        <rFont val="Arial"/>
        <family val="2"/>
      </rPr>
      <t xml:space="preserve">DATE </t>
    </r>
    <r>
      <rPr>
        <sz val="9"/>
        <color rgb="FF000000"/>
        <rFont val="Noto Sans CJK SC"/>
        <family val="2"/>
      </rPr>
      <t>타입 시간 정보 손실</t>
    </r>
  </si>
  <si>
    <r>
      <rPr>
        <sz val="9"/>
        <color rgb="FF000000"/>
        <rFont val="Arial"/>
        <family val="2"/>
      </rPr>
      <t xml:space="preserve">DATE </t>
    </r>
    <r>
      <rPr>
        <sz val="9"/>
        <color rgb="FF000000"/>
        <rFont val="Noto Sans CJK SC"/>
        <family val="2"/>
      </rPr>
      <t xml:space="preserve">컬럼 </t>
    </r>
    <r>
      <rPr>
        <sz val="9"/>
        <color rgb="FF000000"/>
        <rFont val="Arial"/>
        <family val="2"/>
      </rPr>
      <t xml:space="preserve">HH24:MI:SS </t>
    </r>
    <r>
      <rPr>
        <sz val="9"/>
        <color rgb="FF000000"/>
        <rFont val="Noto Sans CJK SC"/>
        <family val="2"/>
      </rPr>
      <t>포함 여부 확인</t>
    </r>
  </si>
  <si>
    <t>TIMESTAMP WITH TIME ZONE</t>
  </si>
  <si>
    <r>
      <rPr>
        <sz val="9"/>
        <color rgb="FF000000"/>
        <rFont val="Arial"/>
        <family val="2"/>
      </rPr>
      <t xml:space="preserve">NLS_TIMESTAMP_TZ_FORMAT </t>
    </r>
    <r>
      <rPr>
        <sz val="9"/>
        <color rgb="FF000000"/>
        <rFont val="Noto Sans CJK SC"/>
        <family val="2"/>
      </rPr>
      <t>소스</t>
    </r>
    <r>
      <rPr>
        <sz val="9"/>
        <color rgb="FF000000"/>
        <rFont val="Arial"/>
        <family val="2"/>
      </rPr>
      <t>/</t>
    </r>
    <r>
      <rPr>
        <sz val="9"/>
        <color rgb="FF000000"/>
        <rFont val="Noto Sans CJK SC"/>
        <family val="2"/>
      </rPr>
      <t>타겟 일치 확인</t>
    </r>
  </si>
  <si>
    <r>
      <rPr>
        <sz val="9"/>
        <color rgb="FF000000"/>
        <rFont val="Arial"/>
        <family val="2"/>
      </rPr>
      <t xml:space="preserve">NUMBER </t>
    </r>
    <r>
      <rPr>
        <sz val="9"/>
        <color rgb="FF000000"/>
        <rFont val="Noto Sans CJK SC"/>
        <family val="2"/>
      </rPr>
      <t>정밀도 비교</t>
    </r>
  </si>
  <si>
    <r>
      <rPr>
        <sz val="9"/>
        <color rgb="FF000000"/>
        <rFont val="Arial"/>
        <family val="2"/>
      </rPr>
      <t xml:space="preserve">PRECISION·SCALE </t>
    </r>
    <r>
      <rPr>
        <sz val="9"/>
        <color rgb="FF000000"/>
        <rFont val="Noto Sans CJK SC"/>
        <family val="2"/>
      </rPr>
      <t>소스</t>
    </r>
    <r>
      <rPr>
        <sz val="9"/>
        <color rgb="FF000000"/>
        <rFont val="Arial"/>
        <family val="2"/>
      </rPr>
      <t>/</t>
    </r>
    <r>
      <rPr>
        <sz val="9"/>
        <color rgb="FF000000"/>
        <rFont val="Noto Sans CJK SC"/>
        <family val="2"/>
      </rPr>
      <t>타겟 동일 여부</t>
    </r>
  </si>
  <si>
    <r>
      <rPr>
        <sz val="9"/>
        <color rgb="FF000000"/>
        <rFont val="Arial"/>
        <family val="2"/>
      </rPr>
      <t xml:space="preserve">CHAR vs VARCHAR2 </t>
    </r>
    <r>
      <rPr>
        <sz val="9"/>
        <color rgb="FF000000"/>
        <rFont val="Noto Sans CJK SC"/>
        <family val="2"/>
      </rPr>
      <t>패딩</t>
    </r>
  </si>
  <si>
    <r>
      <rPr>
        <sz val="9"/>
        <color rgb="FF000000"/>
        <rFont val="Arial"/>
        <family val="2"/>
      </rPr>
      <t xml:space="preserve">CHAR </t>
    </r>
    <r>
      <rPr>
        <sz val="9"/>
        <color rgb="FF000000"/>
        <rFont val="Noto Sans CJK SC"/>
        <family val="2"/>
      </rPr>
      <t>타입 공백 패딩 데이터 비교</t>
    </r>
  </si>
  <si>
    <r>
      <rPr>
        <sz val="9"/>
        <color rgb="FF000000"/>
        <rFont val="Arial"/>
        <family val="2"/>
      </rPr>
      <t xml:space="preserve">XMLTYPE </t>
    </r>
    <r>
      <rPr>
        <sz val="9"/>
        <color rgb="FF000000"/>
        <rFont val="Noto Sans CJK SC"/>
        <family val="2"/>
      </rPr>
      <t>컬럼</t>
    </r>
  </si>
  <si>
    <r>
      <rPr>
        <sz val="9"/>
        <color rgb="FF000000"/>
        <rFont val="Arial"/>
        <family val="2"/>
      </rPr>
      <t xml:space="preserve">XMLTYPE </t>
    </r>
    <r>
      <rPr>
        <sz val="9"/>
        <color rgb="FF000000"/>
        <rFont val="Noto Sans CJK SC"/>
        <family val="2"/>
      </rPr>
      <t>저장방식</t>
    </r>
    <r>
      <rPr>
        <sz val="9"/>
        <color rgb="FF000000"/>
        <rFont val="Arial"/>
        <family val="2"/>
      </rPr>
      <t xml:space="preserve">(Object-Relational/CLOB) </t>
    </r>
    <r>
      <rPr>
        <sz val="9"/>
        <color rgb="FF000000"/>
        <rFont val="Noto Sans CJK SC"/>
        <family val="2"/>
      </rPr>
      <t>확인</t>
    </r>
  </si>
  <si>
    <r>
      <rPr>
        <sz val="9"/>
        <color rgb="FF000000"/>
        <rFont val="Arial"/>
        <family val="2"/>
      </rPr>
      <t xml:space="preserve">ROWID </t>
    </r>
    <r>
      <rPr>
        <sz val="9"/>
        <color rgb="FF000000"/>
        <rFont val="Noto Sans CJK SC"/>
        <family val="2"/>
      </rPr>
      <t>의존 로직</t>
    </r>
  </si>
  <si>
    <r>
      <rPr>
        <sz val="9"/>
        <color rgb="FF000000"/>
        <rFont val="Arial"/>
        <family val="2"/>
      </rPr>
      <t xml:space="preserve">ROWID </t>
    </r>
    <r>
      <rPr>
        <sz val="9"/>
        <color rgb="FF000000"/>
        <rFont val="Noto Sans CJK SC"/>
        <family val="2"/>
      </rPr>
      <t>사용 쿼리</t>
    </r>
    <r>
      <rPr>
        <sz val="9"/>
        <color rgb="FF000000"/>
        <rFont val="Arial"/>
        <family val="2"/>
      </rPr>
      <t>·</t>
    </r>
    <r>
      <rPr>
        <sz val="9"/>
        <color rgb="FF000000"/>
        <rFont val="Noto Sans CJK SC"/>
        <family val="2"/>
      </rPr>
      <t>프로시저 타겟 무효화 확인</t>
    </r>
  </si>
  <si>
    <t>NLS</t>
  </si>
  <si>
    <r>
      <rPr>
        <sz val="9"/>
        <color rgb="FF000000"/>
        <rFont val="Arial"/>
        <family val="2"/>
      </rPr>
      <t xml:space="preserve">NLS_CHARACTERSET </t>
    </r>
    <r>
      <rPr>
        <sz val="9"/>
        <color rgb="FF000000"/>
        <rFont val="Noto Sans CJK SC"/>
        <family val="2"/>
      </rPr>
      <t>일치</t>
    </r>
  </si>
  <si>
    <r>
      <rPr>
        <sz val="9"/>
        <color rgb="FF000000"/>
        <rFont val="Arial"/>
        <family val="2"/>
      </rPr>
      <t xml:space="preserve">AL32UTF8 </t>
    </r>
    <r>
      <rPr>
        <sz val="9"/>
        <color rgb="FF000000"/>
        <rFont val="Noto Sans CJK SC"/>
        <family val="2"/>
      </rPr>
      <t>등 문자셋 소스</t>
    </r>
    <r>
      <rPr>
        <sz val="9"/>
        <color rgb="FF000000"/>
        <rFont val="Arial"/>
        <family val="2"/>
      </rPr>
      <t>/</t>
    </r>
    <r>
      <rPr>
        <sz val="9"/>
        <color rgb="FF000000"/>
        <rFont val="Noto Sans CJK SC"/>
        <family val="2"/>
      </rPr>
      <t>타겟 동일 확인</t>
    </r>
  </si>
  <si>
    <r>
      <rPr>
        <sz val="9"/>
        <color rgb="FF000000"/>
        <rFont val="Arial"/>
        <family val="2"/>
      </rPr>
      <t xml:space="preserve">NLS_DATE_FORMAT </t>
    </r>
    <r>
      <rPr>
        <sz val="9"/>
        <color rgb="FF000000"/>
        <rFont val="Noto Sans CJK SC"/>
        <family val="2"/>
      </rPr>
      <t>일치</t>
    </r>
  </si>
  <si>
    <r>
      <rPr>
        <sz val="9"/>
        <color rgb="FF000000"/>
        <rFont val="Arial"/>
        <family val="2"/>
      </rPr>
      <t xml:space="preserve">DATE </t>
    </r>
    <r>
      <rPr>
        <sz val="9"/>
        <color rgb="FF000000"/>
        <rFont val="Noto Sans CJK SC"/>
        <family val="2"/>
      </rPr>
      <t>출력 포맷 소스</t>
    </r>
    <r>
      <rPr>
        <sz val="9"/>
        <color rgb="FF000000"/>
        <rFont val="Arial"/>
        <family val="2"/>
      </rPr>
      <t>/</t>
    </r>
    <r>
      <rPr>
        <sz val="9"/>
        <color rgb="FF000000"/>
        <rFont val="Noto Sans CJK SC"/>
        <family val="2"/>
      </rPr>
      <t>타겟 동일 확인</t>
    </r>
  </si>
  <si>
    <r>
      <rPr>
        <sz val="9"/>
        <color rgb="FF000000"/>
        <rFont val="Noto Sans CJK SC"/>
        <family val="2"/>
      </rPr>
      <t>한글</t>
    </r>
    <r>
      <rPr>
        <sz val="9"/>
        <color rgb="FF000000"/>
        <rFont val="Arial"/>
        <family val="2"/>
      </rPr>
      <t>/</t>
    </r>
    <r>
      <rPr>
        <sz val="9"/>
        <color rgb="FF000000"/>
        <rFont val="Noto Sans CJK SC"/>
        <family val="2"/>
      </rPr>
      <t>특수문자 깨짐 없음</t>
    </r>
  </si>
  <si>
    <t>멀티바이트 문자 샘플 데이터 육안 확인</t>
  </si>
  <si>
    <t>참조 무결성</t>
  </si>
  <si>
    <r>
      <rPr>
        <sz val="9"/>
        <color rgb="FF000000"/>
        <rFont val="Arial"/>
        <family val="2"/>
      </rPr>
      <t xml:space="preserve">Orphan Row </t>
    </r>
    <r>
      <rPr>
        <sz val="9"/>
        <color rgb="FF000000"/>
        <rFont val="Noto Sans CJK SC"/>
        <family val="2"/>
      </rPr>
      <t>없음</t>
    </r>
  </si>
  <si>
    <r>
      <rPr>
        <sz val="9"/>
        <color rgb="FF000000"/>
        <rFont val="Arial"/>
        <family val="2"/>
      </rPr>
      <t xml:space="preserve">FK </t>
    </r>
    <r>
      <rPr>
        <sz val="9"/>
        <color rgb="FF000000"/>
        <rFont val="Noto Sans CJK SC"/>
        <family val="2"/>
      </rPr>
      <t>참조 부모 없는 자식 레코드 확인</t>
    </r>
  </si>
  <si>
    <r>
      <rPr>
        <sz val="9"/>
        <color rgb="FF000000"/>
        <rFont val="Arial"/>
        <family val="2"/>
      </rPr>
      <t xml:space="preserve">FK DISABLED </t>
    </r>
    <r>
      <rPr>
        <sz val="9"/>
        <color rgb="FF000000"/>
        <rFont val="Noto Sans CJK SC"/>
        <family val="2"/>
      </rPr>
      <t>후 데이터 적재 여부</t>
    </r>
  </si>
  <si>
    <r>
      <rPr>
        <sz val="9"/>
        <color rgb="FF000000"/>
        <rFont val="Arial"/>
        <family val="2"/>
      </rPr>
      <t xml:space="preserve">FK DISABLED </t>
    </r>
    <r>
      <rPr>
        <sz val="9"/>
        <color rgb="FF000000"/>
        <rFont val="Noto Sans CJK SC"/>
        <family val="2"/>
      </rPr>
      <t>상태로 적재 시 무결성 오류 데이터</t>
    </r>
  </si>
  <si>
    <t>단계</t>
  </si>
  <si>
    <r>
      <rPr>
        <b/>
        <sz val="11"/>
        <color rgb="FFFFFFFF"/>
        <rFont val="Noto Sans CJK SC"/>
        <family val="2"/>
      </rPr>
      <t>검증</t>
    </r>
    <r>
      <rPr>
        <b/>
        <sz val="11"/>
        <color rgb="FFFFFFFF"/>
        <rFont val="Arial"/>
        <family val="2"/>
      </rPr>
      <t>/</t>
    </r>
    <r>
      <rPr>
        <b/>
        <sz val="11"/>
        <color rgb="FFFFFFFF"/>
        <rFont val="Noto Sans CJK SC"/>
        <family val="2"/>
      </rPr>
      <t>확인 항목</t>
    </r>
  </si>
  <si>
    <t>SE⚠️</t>
  </si>
  <si>
    <t>OCI☁️</t>
  </si>
  <si>
    <r>
      <rPr>
        <b/>
        <sz val="11"/>
        <color rgb="FF000000"/>
        <rFont val="Noto Sans CJK SC"/>
        <family val="2"/>
      </rPr>
      <t xml:space="preserve">▶  특수 객체 검증 — </t>
    </r>
    <r>
      <rPr>
        <b/>
        <sz val="11"/>
        <color rgb="FF000000"/>
        <rFont val="Arial"/>
        <family val="2"/>
      </rPr>
      <t>MV·Trigger·DB Link·DBMS_JOB·Partition·DDL Replication</t>
    </r>
  </si>
  <si>
    <t>MV</t>
  </si>
  <si>
    <r>
      <rPr>
        <sz val="9"/>
        <color rgb="FF000000"/>
        <rFont val="Noto Sans CJK SC"/>
        <family val="2"/>
      </rPr>
      <t xml:space="preserve">소스 </t>
    </r>
    <r>
      <rPr>
        <sz val="9"/>
        <color rgb="FF000000"/>
        <rFont val="Arial"/>
        <family val="2"/>
      </rPr>
      <t xml:space="preserve">MV </t>
    </r>
    <r>
      <rPr>
        <sz val="9"/>
        <color rgb="FF000000"/>
        <rFont val="Noto Sans CJK SC"/>
        <family val="2"/>
      </rPr>
      <t xml:space="preserve">목록 및 </t>
    </r>
    <r>
      <rPr>
        <sz val="9"/>
        <color rgb="FF000000"/>
        <rFont val="Arial"/>
        <family val="2"/>
      </rPr>
      <t xml:space="preserve">REFRESH </t>
    </r>
    <r>
      <rPr>
        <sz val="9"/>
        <color rgb="FF000000"/>
        <rFont val="Noto Sans CJK SC"/>
        <family val="2"/>
      </rPr>
      <t xml:space="preserve">방식 파악 </t>
    </r>
    <r>
      <rPr>
        <sz val="9"/>
        <color rgb="FF000000"/>
        <rFont val="Arial"/>
        <family val="2"/>
      </rPr>
      <t>(COMPLETE/FAST/FORCE)</t>
    </r>
  </si>
  <si>
    <r>
      <rPr>
        <sz val="9"/>
        <color rgb="FF000000"/>
        <rFont val="Arial"/>
        <family val="2"/>
      </rPr>
      <t xml:space="preserve">MV Log </t>
    </r>
    <r>
      <rPr>
        <sz val="9"/>
        <color rgb="FF000000"/>
        <rFont val="Noto Sans CJK SC"/>
        <family val="2"/>
      </rPr>
      <t xml:space="preserve">존재 여부 </t>
    </r>
    <r>
      <rPr>
        <sz val="9"/>
        <color rgb="FF000000"/>
        <rFont val="Arial"/>
        <family val="2"/>
      </rPr>
      <t xml:space="preserve">(FAST REFRESH </t>
    </r>
    <r>
      <rPr>
        <sz val="9"/>
        <color rgb="FF000000"/>
        <rFont val="Noto Sans CJK SC"/>
        <family val="2"/>
      </rPr>
      <t>가능 여부</t>
    </r>
    <r>
      <rPr>
        <sz val="9"/>
        <color rgb="FF000000"/>
        <rFont val="Arial"/>
        <family val="2"/>
      </rPr>
      <t>)</t>
    </r>
  </si>
  <si>
    <r>
      <rPr>
        <sz val="9"/>
        <color rgb="FF000000"/>
        <rFont val="Arial"/>
        <family val="2"/>
      </rPr>
      <t xml:space="preserve">MV STALENESS </t>
    </r>
    <r>
      <rPr>
        <sz val="9"/>
        <color rgb="FF000000"/>
        <rFont val="Noto Sans CJK SC"/>
        <family val="2"/>
      </rPr>
      <t xml:space="preserve">상태 </t>
    </r>
    <r>
      <rPr>
        <sz val="9"/>
        <color rgb="FF000000"/>
        <rFont val="Arial"/>
        <family val="2"/>
      </rPr>
      <t xml:space="preserve">(FRESH/STALE </t>
    </r>
    <r>
      <rPr>
        <sz val="9"/>
        <color rgb="FF000000"/>
        <rFont val="Noto Sans CJK SC"/>
        <family val="2"/>
      </rPr>
      <t>확인</t>
    </r>
    <r>
      <rPr>
        <sz val="9"/>
        <color rgb="FF000000"/>
        <rFont val="Arial"/>
        <family val="2"/>
      </rPr>
      <t>)</t>
    </r>
  </si>
  <si>
    <t>Validation</t>
  </si>
  <si>
    <r>
      <rPr>
        <sz val="9"/>
        <color rgb="FF000000"/>
        <rFont val="Arial"/>
        <family val="2"/>
      </rPr>
      <t xml:space="preserve">MV </t>
    </r>
    <r>
      <rPr>
        <sz val="9"/>
        <color rgb="FF000000"/>
        <rFont val="Noto Sans CJK SC"/>
        <family val="2"/>
      </rPr>
      <t xml:space="preserve">컨테이너 테이블 </t>
    </r>
    <r>
      <rPr>
        <sz val="9"/>
        <color rgb="FF000000"/>
        <rFont val="Arial"/>
        <family val="2"/>
      </rPr>
      <t xml:space="preserve">Row Count </t>
    </r>
    <r>
      <rPr>
        <sz val="9"/>
        <color rgb="FF000000"/>
        <rFont val="Noto Sans CJK SC"/>
        <family val="2"/>
      </rPr>
      <t>소스</t>
    </r>
    <r>
      <rPr>
        <sz val="9"/>
        <color rgb="FF000000"/>
        <rFont val="Arial"/>
        <family val="2"/>
      </rPr>
      <t>/</t>
    </r>
    <r>
      <rPr>
        <sz val="9"/>
        <color rgb="FF000000"/>
        <rFont val="Noto Sans CJK SC"/>
        <family val="2"/>
      </rPr>
      <t>타겟 비교</t>
    </r>
  </si>
  <si>
    <r>
      <rPr>
        <sz val="9"/>
        <color rgb="FF000000"/>
        <rFont val="Noto Sans CJK SC"/>
        <family val="2"/>
      </rPr>
      <t xml:space="preserve">타겟 </t>
    </r>
    <r>
      <rPr>
        <sz val="9"/>
        <color rgb="FF000000"/>
        <rFont val="Arial"/>
        <family val="2"/>
      </rPr>
      <t xml:space="preserve">MV </t>
    </r>
    <r>
      <rPr>
        <sz val="9"/>
        <color rgb="FF000000"/>
        <rFont val="Noto Sans CJK SC"/>
        <family val="2"/>
      </rPr>
      <t>재생성 완료 여부</t>
    </r>
  </si>
  <si>
    <r>
      <rPr>
        <sz val="9"/>
        <color rgb="FF000000"/>
        <rFont val="Noto Sans CJK SC"/>
        <family val="2"/>
      </rPr>
      <t xml:space="preserve">타겟 </t>
    </r>
    <r>
      <rPr>
        <sz val="9"/>
        <color rgb="FF000000"/>
        <rFont val="Arial"/>
        <family val="2"/>
      </rPr>
      <t xml:space="preserve">MV REFRESH </t>
    </r>
    <r>
      <rPr>
        <sz val="9"/>
        <color rgb="FF000000"/>
        <rFont val="Noto Sans CJK SC"/>
        <family val="2"/>
      </rPr>
      <t>정상 실행 여부</t>
    </r>
  </si>
  <si>
    <t>Caution</t>
  </si>
  <si>
    <r>
      <rPr>
        <sz val="9"/>
        <color rgb="FF000000"/>
        <rFont val="Arial"/>
        <family val="2"/>
      </rPr>
      <t>OCI GG</t>
    </r>
    <r>
      <rPr>
        <sz val="9"/>
        <color rgb="FF000000"/>
        <rFont val="Noto Sans CJK SC"/>
        <family val="2"/>
      </rPr>
      <t xml:space="preserve">는 </t>
    </r>
    <r>
      <rPr>
        <sz val="9"/>
        <color rgb="FF000000"/>
        <rFont val="Arial"/>
        <family val="2"/>
      </rPr>
      <t xml:space="preserve">MV </t>
    </r>
    <r>
      <rPr>
        <sz val="9"/>
        <color rgb="FF000000"/>
        <rFont val="Noto Sans CJK SC"/>
        <family val="2"/>
      </rPr>
      <t>자체 복제 불가 → 타겟 재생성 필수</t>
    </r>
  </si>
  <si>
    <r>
      <rPr>
        <sz val="9"/>
        <color rgb="FF000000"/>
        <rFont val="Noto Sans CJK SC"/>
        <family val="2"/>
      </rPr>
      <t xml:space="preserve">상시운영 중 </t>
    </r>
    <r>
      <rPr>
        <sz val="9"/>
        <color rgb="FF000000"/>
        <rFont val="Arial"/>
        <family val="2"/>
      </rPr>
      <t xml:space="preserve">MV STALE </t>
    </r>
    <r>
      <rPr>
        <sz val="9"/>
        <color rgb="FF000000"/>
        <rFont val="Noto Sans CJK SC"/>
        <family val="2"/>
      </rPr>
      <t xml:space="preserve">시 </t>
    </r>
    <r>
      <rPr>
        <sz val="9"/>
        <color rgb="FF000000"/>
        <rFont val="Arial"/>
        <family val="2"/>
      </rPr>
      <t xml:space="preserve">REFRESH </t>
    </r>
    <r>
      <rPr>
        <sz val="9"/>
        <color rgb="FF000000"/>
        <rFont val="Noto Sans CJK SC"/>
        <family val="2"/>
      </rPr>
      <t>주기 재설정</t>
    </r>
  </si>
  <si>
    <t>Trigger</t>
  </si>
  <si>
    <r>
      <rPr>
        <sz val="9"/>
        <color rgb="FF000000"/>
        <rFont val="Noto Sans CJK SC"/>
        <family val="2"/>
      </rPr>
      <t xml:space="preserve">소스 </t>
    </r>
    <r>
      <rPr>
        <sz val="9"/>
        <color rgb="FF000000"/>
        <rFont val="Arial"/>
        <family val="2"/>
      </rPr>
      <t xml:space="preserve">Trigger </t>
    </r>
    <r>
      <rPr>
        <sz val="9"/>
        <color rgb="FF000000"/>
        <rFont val="Noto Sans CJK SC"/>
        <family val="2"/>
      </rPr>
      <t xml:space="preserve">전체 </t>
    </r>
    <r>
      <rPr>
        <sz val="9"/>
        <color rgb="FF000000"/>
        <rFont val="Arial"/>
        <family val="2"/>
      </rPr>
      <t xml:space="preserve">DDL </t>
    </r>
    <r>
      <rPr>
        <sz val="9"/>
        <color rgb="FF000000"/>
        <rFont val="Noto Sans CJK SC"/>
        <family val="2"/>
      </rPr>
      <t>추출 및 목록화</t>
    </r>
  </si>
  <si>
    <r>
      <rPr>
        <sz val="9"/>
        <color rgb="FF000000"/>
        <rFont val="Arial"/>
        <family val="2"/>
      </rPr>
      <t xml:space="preserve">INSTEAD OF Trigger (View </t>
    </r>
    <r>
      <rPr>
        <sz val="9"/>
        <color rgb="FF000000"/>
        <rFont val="Noto Sans CJK SC"/>
        <family val="2"/>
      </rPr>
      <t>기반</t>
    </r>
    <r>
      <rPr>
        <sz val="9"/>
        <color rgb="FF000000"/>
        <rFont val="Arial"/>
        <family val="2"/>
      </rPr>
      <t xml:space="preserve">) </t>
    </r>
    <r>
      <rPr>
        <sz val="9"/>
        <color rgb="FF000000"/>
        <rFont val="Noto Sans CJK SC"/>
        <family val="2"/>
      </rPr>
      <t>별도 식별</t>
    </r>
  </si>
  <si>
    <t>Migration</t>
  </si>
  <si>
    <r>
      <rPr>
        <sz val="9"/>
        <color rgb="FF000000"/>
        <rFont val="Noto Sans CJK SC"/>
        <family val="2"/>
      </rPr>
      <t xml:space="preserve">복제 중 타겟 </t>
    </r>
    <r>
      <rPr>
        <sz val="9"/>
        <color rgb="FF000000"/>
        <rFont val="Arial"/>
        <family val="2"/>
      </rPr>
      <t xml:space="preserve">Trigger DISABLED </t>
    </r>
    <r>
      <rPr>
        <sz val="9"/>
        <color rgb="FF000000"/>
        <rFont val="Noto Sans CJK SC"/>
        <family val="2"/>
      </rPr>
      <t>확인</t>
    </r>
  </si>
  <si>
    <r>
      <rPr>
        <sz val="9"/>
        <color rgb="FF000000"/>
        <rFont val="Arial"/>
        <family val="2"/>
      </rPr>
      <t xml:space="preserve">SUPPRESSTRIGGERS </t>
    </r>
    <r>
      <rPr>
        <sz val="9"/>
        <color rgb="FF000000"/>
        <rFont val="Noto Sans CJK SC"/>
        <family val="2"/>
      </rPr>
      <t>파라미터 적용 확인</t>
    </r>
  </si>
  <si>
    <r>
      <rPr>
        <sz val="9"/>
        <color rgb="FF000000"/>
        <rFont val="Noto Sans CJK SC"/>
        <family val="2"/>
      </rPr>
      <t xml:space="preserve">복제 완료 후 </t>
    </r>
    <r>
      <rPr>
        <sz val="9"/>
        <color rgb="FF000000"/>
        <rFont val="Arial"/>
        <family val="2"/>
      </rPr>
      <t xml:space="preserve">Trigger ENABLED </t>
    </r>
    <r>
      <rPr>
        <sz val="9"/>
        <color rgb="FF000000"/>
        <rFont val="Noto Sans CJK SC"/>
        <family val="2"/>
      </rPr>
      <t>재활성화</t>
    </r>
  </si>
  <si>
    <r>
      <rPr>
        <sz val="9"/>
        <color rgb="FF000000"/>
        <rFont val="Noto Sans CJK SC"/>
        <family val="2"/>
      </rPr>
      <t xml:space="preserve">이중 </t>
    </r>
    <r>
      <rPr>
        <sz val="9"/>
        <color rgb="FF000000"/>
        <rFont val="Arial"/>
        <family val="2"/>
      </rPr>
      <t xml:space="preserve">DML </t>
    </r>
    <r>
      <rPr>
        <sz val="9"/>
        <color rgb="FF000000"/>
        <rFont val="Noto Sans CJK SC"/>
        <family val="2"/>
      </rPr>
      <t>발생 데이터 오염 여부 확인</t>
    </r>
  </si>
  <si>
    <r>
      <rPr>
        <sz val="9"/>
        <color rgb="FF000000"/>
        <rFont val="Noto Sans CJK SC"/>
        <family val="2"/>
      </rPr>
      <t xml:space="preserve">상시운영 중 </t>
    </r>
    <r>
      <rPr>
        <sz val="9"/>
        <color rgb="FF000000"/>
        <rFont val="Arial"/>
        <family val="2"/>
      </rPr>
      <t xml:space="preserve">GGADMIN </t>
    </r>
    <r>
      <rPr>
        <sz val="9"/>
        <color rgb="FF000000"/>
        <rFont val="Noto Sans CJK SC"/>
        <family val="2"/>
      </rPr>
      <t xml:space="preserve">세션 </t>
    </r>
    <r>
      <rPr>
        <sz val="9"/>
        <color rgb="FF000000"/>
        <rFont val="Arial"/>
        <family val="2"/>
      </rPr>
      <t xml:space="preserve">Trigger </t>
    </r>
    <r>
      <rPr>
        <sz val="9"/>
        <color rgb="FF000000"/>
        <rFont val="Noto Sans CJK SC"/>
        <family val="2"/>
      </rPr>
      <t>예외 처리 로직 확인</t>
    </r>
  </si>
  <si>
    <t>DB Link</t>
  </si>
  <si>
    <r>
      <rPr>
        <sz val="9"/>
        <color rgb="FF000000"/>
        <rFont val="Noto Sans CJK SC"/>
        <family val="2"/>
      </rPr>
      <t xml:space="preserve">소스 </t>
    </r>
    <r>
      <rPr>
        <sz val="9"/>
        <color rgb="FF000000"/>
        <rFont val="Arial"/>
        <family val="2"/>
      </rPr>
      <t xml:space="preserve">DB Link </t>
    </r>
    <r>
      <rPr>
        <sz val="9"/>
        <color rgb="FF000000"/>
        <rFont val="Noto Sans CJK SC"/>
        <family val="2"/>
      </rPr>
      <t xml:space="preserve">전체 목록 </t>
    </r>
    <r>
      <rPr>
        <sz val="9"/>
        <color rgb="FF000000"/>
        <rFont val="Arial"/>
        <family val="2"/>
      </rPr>
      <t xml:space="preserve">(Public/Private) </t>
    </r>
    <r>
      <rPr>
        <sz val="9"/>
        <color rgb="FF000000"/>
        <rFont val="Noto Sans CJK SC"/>
        <family val="2"/>
      </rPr>
      <t>추출</t>
    </r>
  </si>
  <si>
    <r>
      <rPr>
        <sz val="9"/>
        <color rgb="FF000000"/>
        <rFont val="Arial"/>
        <family val="2"/>
      </rPr>
      <t xml:space="preserve">DB Link </t>
    </r>
    <r>
      <rPr>
        <sz val="9"/>
        <color rgb="FF000000"/>
        <rFont val="Noto Sans CJK SC"/>
        <family val="2"/>
      </rPr>
      <t xml:space="preserve">의존 객체 </t>
    </r>
    <r>
      <rPr>
        <sz val="9"/>
        <color rgb="FF000000"/>
        <rFont val="Arial"/>
        <family val="2"/>
      </rPr>
      <t xml:space="preserve">(View/Proc) </t>
    </r>
    <r>
      <rPr>
        <sz val="9"/>
        <color rgb="FF000000"/>
        <rFont val="Noto Sans CJK SC"/>
        <family val="2"/>
      </rPr>
      <t>식별</t>
    </r>
  </si>
  <si>
    <r>
      <rPr>
        <sz val="9"/>
        <color rgb="FF000000"/>
        <rFont val="Noto Sans CJK SC"/>
        <family val="2"/>
      </rPr>
      <t xml:space="preserve">타겟 네트워크에서 원격 </t>
    </r>
    <r>
      <rPr>
        <sz val="9"/>
        <color rgb="FF000000"/>
        <rFont val="Arial"/>
        <family val="2"/>
      </rPr>
      <t xml:space="preserve">DB </t>
    </r>
    <r>
      <rPr>
        <sz val="9"/>
        <color rgb="FF000000"/>
        <rFont val="Noto Sans CJK SC"/>
        <family val="2"/>
      </rPr>
      <t>접근 가능 여부</t>
    </r>
  </si>
  <si>
    <r>
      <rPr>
        <sz val="9"/>
        <color rgb="FF000000"/>
        <rFont val="Arial"/>
        <family val="2"/>
      </rPr>
      <t xml:space="preserve">TNS/EZConnect </t>
    </r>
    <r>
      <rPr>
        <sz val="9"/>
        <color rgb="FF000000"/>
        <rFont val="Noto Sans CJK SC"/>
        <family val="2"/>
      </rPr>
      <t>문자열 타겟 환경 맞게 수정</t>
    </r>
  </si>
  <si>
    <r>
      <rPr>
        <sz val="9"/>
        <color rgb="FF000000"/>
        <rFont val="Noto Sans CJK SC"/>
        <family val="2"/>
      </rPr>
      <t xml:space="preserve">타겟 </t>
    </r>
    <r>
      <rPr>
        <sz val="9"/>
        <color rgb="FF000000"/>
        <rFont val="Arial"/>
        <family val="2"/>
      </rPr>
      <t xml:space="preserve">DB Link </t>
    </r>
    <r>
      <rPr>
        <sz val="9"/>
        <color rgb="FF000000"/>
        <rFont val="Noto Sans CJK SC"/>
        <family val="2"/>
      </rPr>
      <t>연결 테스트 통과</t>
    </r>
  </si>
  <si>
    <r>
      <rPr>
        <sz val="9"/>
        <color rgb="FF000000"/>
        <rFont val="Arial"/>
        <family val="2"/>
      </rPr>
      <t xml:space="preserve">DB Link </t>
    </r>
    <r>
      <rPr>
        <sz val="9"/>
        <color rgb="FF000000"/>
        <rFont val="Noto Sans CJK SC"/>
        <family val="2"/>
      </rPr>
      <t xml:space="preserve">의존 객체 재컴파일 후 </t>
    </r>
    <r>
      <rPr>
        <sz val="9"/>
        <color rgb="FF000000"/>
        <rFont val="Arial"/>
        <family val="2"/>
      </rPr>
      <t xml:space="preserve">VALID </t>
    </r>
    <r>
      <rPr>
        <sz val="9"/>
        <color rgb="FF000000"/>
        <rFont val="Noto Sans CJK SC"/>
        <family val="2"/>
      </rPr>
      <t>확인</t>
    </r>
  </si>
  <si>
    <r>
      <rPr>
        <sz val="9"/>
        <color rgb="FF000000"/>
        <rFont val="Arial"/>
        <family val="2"/>
      </rPr>
      <t>OCI GG</t>
    </r>
    <r>
      <rPr>
        <sz val="9"/>
        <color rgb="FF000000"/>
        <rFont val="Noto Sans CJK SC"/>
        <family val="2"/>
      </rPr>
      <t xml:space="preserve">는 </t>
    </r>
    <r>
      <rPr>
        <sz val="9"/>
        <color rgb="FF000000"/>
        <rFont val="Arial"/>
        <family val="2"/>
      </rPr>
      <t xml:space="preserve">DB Link </t>
    </r>
    <r>
      <rPr>
        <sz val="9"/>
        <color rgb="FF000000"/>
        <rFont val="Noto Sans CJK SC"/>
        <family val="2"/>
      </rPr>
      <t>복제 미지원 → 수동 재생성 필수</t>
    </r>
  </si>
  <si>
    <t>DBMS_JOB</t>
  </si>
  <si>
    <r>
      <rPr>
        <sz val="9"/>
        <color rgb="FF000000"/>
        <rFont val="Noto Sans CJK SC"/>
        <family val="2"/>
      </rPr>
      <t xml:space="preserve">소스 </t>
    </r>
    <r>
      <rPr>
        <sz val="9"/>
        <color rgb="FF000000"/>
        <rFont val="Arial"/>
        <family val="2"/>
      </rPr>
      <t xml:space="preserve">DBMS_JOB </t>
    </r>
    <r>
      <rPr>
        <sz val="9"/>
        <color rgb="FF000000"/>
        <rFont val="Noto Sans CJK SC"/>
        <family val="2"/>
      </rPr>
      <t xml:space="preserve">전체 목록 및 </t>
    </r>
    <r>
      <rPr>
        <sz val="9"/>
        <color rgb="FF000000"/>
        <rFont val="Arial"/>
        <family val="2"/>
      </rPr>
      <t xml:space="preserve">INTERVAL </t>
    </r>
    <r>
      <rPr>
        <sz val="9"/>
        <color rgb="FF000000"/>
        <rFont val="Noto Sans CJK SC"/>
        <family val="2"/>
      </rPr>
      <t>표현식 추출</t>
    </r>
  </si>
  <si>
    <r>
      <rPr>
        <sz val="9"/>
        <color rgb="FF000000"/>
        <rFont val="Noto Sans CJK SC"/>
        <family val="2"/>
      </rPr>
      <t xml:space="preserve">실행 중인 </t>
    </r>
    <r>
      <rPr>
        <sz val="9"/>
        <color rgb="FF000000"/>
        <rFont val="Arial"/>
        <family val="2"/>
      </rPr>
      <t xml:space="preserve">JOB </t>
    </r>
    <r>
      <rPr>
        <sz val="9"/>
        <color rgb="FF000000"/>
        <rFont val="Noto Sans CJK SC"/>
        <family val="2"/>
      </rPr>
      <t xml:space="preserve">및 </t>
    </r>
    <r>
      <rPr>
        <sz val="9"/>
        <color rgb="FF000000"/>
        <rFont val="Arial"/>
        <family val="2"/>
      </rPr>
      <t xml:space="preserve">BROKEN </t>
    </r>
    <r>
      <rPr>
        <sz val="9"/>
        <color rgb="FF000000"/>
        <rFont val="Noto Sans CJK SC"/>
        <family val="2"/>
      </rPr>
      <t xml:space="preserve">상태 </t>
    </r>
    <r>
      <rPr>
        <sz val="9"/>
        <color rgb="FF000000"/>
        <rFont val="Arial"/>
        <family val="2"/>
      </rPr>
      <t xml:space="preserve">JOB </t>
    </r>
    <r>
      <rPr>
        <sz val="9"/>
        <color rgb="FF000000"/>
        <rFont val="Noto Sans CJK SC"/>
        <family val="2"/>
      </rPr>
      <t>식별</t>
    </r>
  </si>
  <si>
    <r>
      <rPr>
        <sz val="9"/>
        <color rgb="FF000000"/>
        <rFont val="Noto Sans CJK SC"/>
        <family val="2"/>
      </rPr>
      <t xml:space="preserve">마이그레이션 중 소스 </t>
    </r>
    <r>
      <rPr>
        <sz val="9"/>
        <color rgb="FF000000"/>
        <rFont val="Arial"/>
        <family val="2"/>
      </rPr>
      <t xml:space="preserve">JOB BROKEN </t>
    </r>
    <r>
      <rPr>
        <sz val="9"/>
        <color rgb="FF000000"/>
        <rFont val="Noto Sans CJK SC"/>
        <family val="2"/>
      </rPr>
      <t xml:space="preserve">처리 </t>
    </r>
    <r>
      <rPr>
        <sz val="9"/>
        <color rgb="FF000000"/>
        <rFont val="Arial"/>
        <family val="2"/>
      </rPr>
      <t>(</t>
    </r>
    <r>
      <rPr>
        <sz val="9"/>
        <color rgb="FF000000"/>
        <rFont val="Noto Sans CJK SC"/>
        <family val="2"/>
      </rPr>
      <t>이중 실행 방지</t>
    </r>
    <r>
      <rPr>
        <sz val="9"/>
        <color rgb="FF000000"/>
        <rFont val="Arial"/>
        <family val="2"/>
      </rPr>
      <t>)</t>
    </r>
  </si>
  <si>
    <r>
      <rPr>
        <sz val="9"/>
        <color rgb="FF000000"/>
        <rFont val="Arial"/>
        <family val="2"/>
      </rPr>
      <t>DBMS_SCHEDULER</t>
    </r>
    <r>
      <rPr>
        <sz val="9"/>
        <color rgb="FF000000"/>
        <rFont val="Noto Sans CJK SC"/>
        <family val="2"/>
      </rPr>
      <t>로 전환 매핑 작업 완료</t>
    </r>
  </si>
  <si>
    <r>
      <rPr>
        <sz val="8"/>
        <color rgb="FF000000"/>
        <rFont val="Arial"/>
        <family val="2"/>
      </rPr>
      <t>⚠️ SE</t>
    </r>
    <r>
      <rPr>
        <sz val="8"/>
        <color rgb="FF000000"/>
        <rFont val="Noto Sans CJK SC"/>
        <family val="2"/>
      </rPr>
      <t xml:space="preserve">에서 </t>
    </r>
    <r>
      <rPr>
        <sz val="8"/>
        <color rgb="FF000000"/>
        <rFont val="Arial"/>
        <family val="2"/>
      </rPr>
      <t>DBMS_JOB Deprecated</t>
    </r>
  </si>
  <si>
    <r>
      <rPr>
        <sz val="9"/>
        <color rgb="FF000000"/>
        <rFont val="Noto Sans CJK SC"/>
        <family val="2"/>
      </rPr>
      <t xml:space="preserve">타겟 </t>
    </r>
    <r>
      <rPr>
        <sz val="9"/>
        <color rgb="FF000000"/>
        <rFont val="Arial"/>
        <family val="2"/>
      </rPr>
      <t xml:space="preserve">DBMS_SCHEDULER JOB </t>
    </r>
    <r>
      <rPr>
        <sz val="9"/>
        <color rgb="FF000000"/>
        <rFont val="Noto Sans CJK SC"/>
        <family val="2"/>
      </rPr>
      <t>생성 및 실행 확인</t>
    </r>
  </si>
  <si>
    <r>
      <rPr>
        <sz val="9"/>
        <color rgb="FF000000"/>
        <rFont val="Noto Sans CJK SC"/>
        <family val="2"/>
      </rPr>
      <t xml:space="preserve">실행 주기 소스 </t>
    </r>
    <r>
      <rPr>
        <sz val="9"/>
        <color rgb="FF000000"/>
        <rFont val="Arial"/>
        <family val="2"/>
      </rPr>
      <t>INTERVAL</t>
    </r>
    <r>
      <rPr>
        <sz val="9"/>
        <color rgb="FF000000"/>
        <rFont val="Noto Sans CJK SC"/>
        <family val="2"/>
      </rPr>
      <t>과 동일 여부</t>
    </r>
  </si>
  <si>
    <r>
      <rPr>
        <sz val="9"/>
        <color rgb="FF000000"/>
        <rFont val="Noto Sans CJK SC"/>
        <family val="2"/>
      </rPr>
      <t xml:space="preserve">상시운영 중 </t>
    </r>
    <r>
      <rPr>
        <sz val="9"/>
        <color rgb="FF000000"/>
        <rFont val="Arial"/>
        <family val="2"/>
      </rPr>
      <t xml:space="preserve">DBA_SCHEDULER_JOB_LOG </t>
    </r>
    <r>
      <rPr>
        <sz val="9"/>
        <color rgb="FF000000"/>
        <rFont val="Noto Sans CJK SC"/>
        <family val="2"/>
      </rPr>
      <t>정기 모니터링</t>
    </r>
  </si>
  <si>
    <r>
      <rPr>
        <sz val="9"/>
        <color rgb="FF000000"/>
        <rFont val="Noto Sans CJK SC"/>
        <family val="2"/>
      </rPr>
      <t xml:space="preserve">전체 </t>
    </r>
    <r>
      <rPr>
        <sz val="9"/>
        <color rgb="FF000000"/>
        <rFont val="Arial"/>
        <family val="2"/>
      </rPr>
      <t xml:space="preserve">Sequence </t>
    </r>
    <r>
      <rPr>
        <sz val="9"/>
        <color rgb="FF000000"/>
        <rFont val="Noto Sans CJK SC"/>
        <family val="2"/>
      </rPr>
      <t>목록 및 속성 추출</t>
    </r>
  </si>
  <si>
    <r>
      <rPr>
        <sz val="9"/>
        <color rgb="FF000000"/>
        <rFont val="Arial"/>
        <family val="2"/>
      </rPr>
      <t xml:space="preserve">OCI GG SEQUENCE </t>
    </r>
    <r>
      <rPr>
        <sz val="9"/>
        <color rgb="FF000000"/>
        <rFont val="Noto Sans CJK SC"/>
        <family val="2"/>
      </rPr>
      <t>파라미터 설정 확인</t>
    </r>
  </si>
  <si>
    <r>
      <rPr>
        <sz val="9"/>
        <color rgb="FF000000"/>
        <rFont val="Noto Sans CJK SC"/>
        <family val="2"/>
      </rPr>
      <t xml:space="preserve">타겟 </t>
    </r>
    <r>
      <rPr>
        <sz val="9"/>
        <color rgb="FF000000"/>
        <rFont val="Arial"/>
        <family val="2"/>
      </rPr>
      <t xml:space="preserve">LAST_NUMBER ≥ </t>
    </r>
    <r>
      <rPr>
        <sz val="9"/>
        <color rgb="FF000000"/>
        <rFont val="Noto Sans CJK SC"/>
        <family val="2"/>
      </rPr>
      <t xml:space="preserve">소스 </t>
    </r>
    <r>
      <rPr>
        <sz val="9"/>
        <color rgb="FF000000"/>
        <rFont val="Arial"/>
        <family val="2"/>
      </rPr>
      <t>LAST_NUMBER + CACHE_SIZE</t>
    </r>
  </si>
  <si>
    <r>
      <rPr>
        <sz val="8"/>
        <color rgb="FF000000"/>
        <rFont val="Arial"/>
        <family val="2"/>
      </rPr>
      <t xml:space="preserve">⚠️ CACHE Gap </t>
    </r>
    <r>
      <rPr>
        <sz val="8"/>
        <color rgb="FF000000"/>
        <rFont val="Noto Sans CJK SC"/>
        <family val="2"/>
      </rPr>
      <t>필수 확인</t>
    </r>
  </si>
  <si>
    <r>
      <rPr>
        <sz val="9"/>
        <color rgb="FF000000"/>
        <rFont val="Noto Sans CJK SC"/>
        <family val="2"/>
      </rPr>
      <t xml:space="preserve">상시운영 중 </t>
    </r>
    <r>
      <rPr>
        <sz val="9"/>
        <color rgb="FF000000"/>
        <rFont val="Arial"/>
        <family val="2"/>
      </rPr>
      <t xml:space="preserve">Sequence Gap </t>
    </r>
    <r>
      <rPr>
        <sz val="9"/>
        <color rgb="FF000000"/>
        <rFont val="Noto Sans CJK SC"/>
        <family val="2"/>
      </rPr>
      <t xml:space="preserve">누적 → </t>
    </r>
    <r>
      <rPr>
        <sz val="9"/>
        <color rgb="FF000000"/>
        <rFont val="Arial"/>
        <family val="2"/>
      </rPr>
      <t xml:space="preserve">Cut-over </t>
    </r>
    <r>
      <rPr>
        <sz val="9"/>
        <color rgb="FF000000"/>
        <rFont val="Noto Sans CJK SC"/>
        <family val="2"/>
      </rPr>
      <t>시 재설정</t>
    </r>
  </si>
  <si>
    <t>Partition Table</t>
  </si>
  <si>
    <t>파티션 테이블 목록 및 파티션 유형 파악</t>
  </si>
  <si>
    <t>파티션 키 컬럼 및 파티션 수 확인</t>
  </si>
  <si>
    <r>
      <rPr>
        <sz val="9"/>
        <color rgb="FF000000"/>
        <rFont val="Noto Sans CJK SC"/>
        <family val="2"/>
      </rPr>
      <t xml:space="preserve">파티션별 </t>
    </r>
    <r>
      <rPr>
        <sz val="9"/>
        <color rgb="FF000000"/>
        <rFont val="Arial"/>
        <family val="2"/>
      </rPr>
      <t xml:space="preserve">Row Count </t>
    </r>
    <r>
      <rPr>
        <sz val="9"/>
        <color rgb="FF000000"/>
        <rFont val="Noto Sans CJK SC"/>
        <family val="2"/>
      </rPr>
      <t>비교</t>
    </r>
  </si>
  <si>
    <r>
      <rPr>
        <sz val="9"/>
        <color rgb="FF000000"/>
        <rFont val="Noto Sans CJK SC"/>
        <family val="2"/>
      </rPr>
      <t xml:space="preserve">파티션 </t>
    </r>
    <r>
      <rPr>
        <sz val="9"/>
        <color rgb="FF000000"/>
        <rFont val="Arial"/>
        <family val="2"/>
      </rPr>
      <t xml:space="preserve">Pruning </t>
    </r>
    <r>
      <rPr>
        <sz val="9"/>
        <color rgb="FF000000"/>
        <rFont val="Noto Sans CJK SC"/>
        <family val="2"/>
      </rPr>
      <t>정상 동작 여부</t>
    </r>
  </si>
  <si>
    <r>
      <rPr>
        <sz val="9"/>
        <color rgb="FF000000"/>
        <rFont val="Arial"/>
        <family val="2"/>
      </rPr>
      <t xml:space="preserve">OCI GG </t>
    </r>
    <r>
      <rPr>
        <sz val="9"/>
        <color rgb="FF000000"/>
        <rFont val="Noto Sans CJK SC"/>
        <family val="2"/>
      </rPr>
      <t xml:space="preserve">파티션 테이블 복제 시 </t>
    </r>
    <r>
      <rPr>
        <sz val="9"/>
        <color rgb="FF000000"/>
        <rFont val="Arial"/>
        <family val="2"/>
      </rPr>
      <t xml:space="preserve">Supplemental Log </t>
    </r>
    <r>
      <rPr>
        <sz val="9"/>
        <color rgb="FF000000"/>
        <rFont val="Noto Sans CJK SC"/>
        <family val="2"/>
      </rPr>
      <t>필수</t>
    </r>
  </si>
  <si>
    <t>DDL Replication</t>
  </si>
  <si>
    <r>
      <rPr>
        <sz val="9"/>
        <color rgb="FF000000"/>
        <rFont val="Arial"/>
        <family val="2"/>
      </rPr>
      <t xml:space="preserve">DDL Replication </t>
    </r>
    <r>
      <rPr>
        <sz val="9"/>
        <color rgb="FF000000"/>
        <rFont val="Noto Sans CJK SC"/>
        <family val="2"/>
      </rPr>
      <t>대상 객체 범위 설정 확인</t>
    </r>
  </si>
  <si>
    <r>
      <rPr>
        <sz val="9"/>
        <color rgb="FF000000"/>
        <rFont val="Arial"/>
        <family val="2"/>
      </rPr>
      <t xml:space="preserve">DDL </t>
    </r>
    <r>
      <rPr>
        <sz val="9"/>
        <color rgb="FF000000"/>
        <rFont val="Noto Sans CJK SC"/>
        <family val="2"/>
      </rPr>
      <t xml:space="preserve">변경 발생 시 </t>
    </r>
    <r>
      <rPr>
        <sz val="9"/>
        <color rgb="FF000000"/>
        <rFont val="Arial"/>
        <family val="2"/>
      </rPr>
      <t xml:space="preserve">Extract ABEND </t>
    </r>
    <r>
      <rPr>
        <sz val="9"/>
        <color rgb="FF000000"/>
        <rFont val="Noto Sans CJK SC"/>
        <family val="2"/>
      </rPr>
      <t>가능성 점검</t>
    </r>
  </si>
  <si>
    <r>
      <rPr>
        <sz val="9"/>
        <color rgb="FF000000"/>
        <rFont val="Noto Sans CJK SC"/>
        <family val="2"/>
      </rPr>
      <t xml:space="preserve">마이그레이션 후 </t>
    </r>
    <r>
      <rPr>
        <sz val="9"/>
        <color rgb="FF000000"/>
        <rFont val="Arial"/>
        <family val="2"/>
      </rPr>
      <t xml:space="preserve">DDL </t>
    </r>
    <r>
      <rPr>
        <sz val="9"/>
        <color rgb="FF000000"/>
        <rFont val="Noto Sans CJK SC"/>
        <family val="2"/>
      </rPr>
      <t>변경 타겟 자동 반영 확인</t>
    </r>
  </si>
  <si>
    <r>
      <rPr>
        <sz val="9"/>
        <color rgb="FF000000"/>
        <rFont val="Noto Sans CJK SC"/>
        <family val="2"/>
      </rPr>
      <t xml:space="preserve">지원하지 않는 </t>
    </r>
    <r>
      <rPr>
        <sz val="9"/>
        <color rgb="FF000000"/>
        <rFont val="Arial"/>
        <family val="2"/>
      </rPr>
      <t xml:space="preserve">DDL </t>
    </r>
    <r>
      <rPr>
        <sz val="9"/>
        <color rgb="FF000000"/>
        <rFont val="Noto Sans CJK SC"/>
        <family val="2"/>
      </rPr>
      <t>유형 목록 사전 파악 및 수동 처리 절차 수립</t>
    </r>
  </si>
  <si>
    <t>구분</t>
  </si>
  <si>
    <t>항목</t>
  </si>
  <si>
    <t>상세 내용</t>
  </si>
  <si>
    <t>태그</t>
  </si>
  <si>
    <t>조치 상태</t>
  </si>
  <si>
    <r>
      <rPr>
        <b/>
        <sz val="11"/>
        <color rgb="FF000000"/>
        <rFont val="Noto Sans CJK SC"/>
        <family val="2"/>
      </rPr>
      <t xml:space="preserve">▶  마이그레이션 주의사항 </t>
    </r>
    <r>
      <rPr>
        <b/>
        <sz val="11"/>
        <color rgb="FF000000"/>
        <rFont val="Arial"/>
        <family val="2"/>
      </rPr>
      <t xml:space="preserve">&amp; SE </t>
    </r>
    <r>
      <rPr>
        <b/>
        <sz val="11"/>
        <color rgb="FF000000"/>
        <rFont val="Noto Sans CJK SC"/>
        <family val="2"/>
      </rPr>
      <t xml:space="preserve">제약 </t>
    </r>
    <r>
      <rPr>
        <b/>
        <sz val="11"/>
        <color rgb="FF000000"/>
        <rFont val="Arial"/>
        <family val="2"/>
      </rPr>
      <t xml:space="preserve">/ OCI GG </t>
    </r>
    <r>
      <rPr>
        <b/>
        <sz val="11"/>
        <color rgb="FF000000"/>
        <rFont val="Noto Sans CJK SC"/>
        <family val="2"/>
      </rPr>
      <t xml:space="preserve">특이사항 </t>
    </r>
    <r>
      <rPr>
        <b/>
        <sz val="11"/>
        <color rgb="FF000000"/>
        <rFont val="Arial"/>
        <family val="2"/>
      </rPr>
      <t xml:space="preserve">/ </t>
    </r>
    <r>
      <rPr>
        <b/>
        <sz val="11"/>
        <color rgb="FF000000"/>
        <rFont val="Noto Sans CJK SC"/>
        <family val="2"/>
      </rPr>
      <t>상시운영 포인트</t>
    </r>
  </si>
  <si>
    <r>
      <rPr>
        <b/>
        <sz val="9"/>
        <color rgb="FF000000"/>
        <rFont val="Arial"/>
        <family val="2"/>
      </rPr>
      <t xml:space="preserve">SE </t>
    </r>
    <r>
      <rPr>
        <b/>
        <sz val="9"/>
        <color rgb="FF000000"/>
        <rFont val="Noto Sans CJK SC"/>
        <family val="2"/>
      </rPr>
      <t>제약</t>
    </r>
  </si>
  <si>
    <r>
      <rPr>
        <b/>
        <sz val="9"/>
        <color rgb="FF000000"/>
        <rFont val="Arial"/>
        <family val="2"/>
      </rPr>
      <t xml:space="preserve">GoldenGate </t>
    </r>
    <r>
      <rPr>
        <b/>
        <sz val="9"/>
        <color rgb="FF000000"/>
        <rFont val="Noto Sans CJK SC"/>
        <family val="2"/>
      </rPr>
      <t>활성화</t>
    </r>
  </si>
  <si>
    <r>
      <rPr>
        <sz val="9"/>
        <color rgb="FF000000"/>
        <rFont val="Arial"/>
        <family val="2"/>
      </rPr>
      <t xml:space="preserve">ENABLE_GOLDENGATE_REPLICATION=TRUE </t>
    </r>
    <r>
      <rPr>
        <sz val="9"/>
        <color rgb="FF000000"/>
        <rFont val="Noto Sans CJK SC"/>
        <family val="2"/>
      </rPr>
      <t xml:space="preserve">수동 설정 필수 </t>
    </r>
    <r>
      <rPr>
        <sz val="9"/>
        <color rgb="FF000000"/>
        <rFont val="Arial"/>
        <family val="2"/>
      </rPr>
      <t xml:space="preserve">(SE </t>
    </r>
    <r>
      <rPr>
        <sz val="9"/>
        <color rgb="FF000000"/>
        <rFont val="Noto Sans CJK SC"/>
        <family val="2"/>
      </rPr>
      <t xml:space="preserve">기본 </t>
    </r>
    <r>
      <rPr>
        <sz val="9"/>
        <color rgb="FF000000"/>
        <rFont val="Arial"/>
        <family val="2"/>
      </rPr>
      <t>FALSE)</t>
    </r>
  </si>
  <si>
    <t>⚠️SE</t>
  </si>
  <si>
    <t>미완료</t>
  </si>
  <si>
    <t>Supplemental Logging</t>
  </si>
  <si>
    <r>
      <rPr>
        <sz val="9"/>
        <color rgb="FF000000"/>
        <rFont val="Arial"/>
        <family val="2"/>
      </rPr>
      <t>SE</t>
    </r>
    <r>
      <rPr>
        <sz val="9"/>
        <color rgb="FF000000"/>
        <rFont val="Noto Sans CJK SC"/>
        <family val="2"/>
      </rPr>
      <t>는 자동 활성화 안됨</t>
    </r>
    <r>
      <rPr>
        <sz val="9"/>
        <color rgb="FF000000"/>
        <rFont val="Arial"/>
        <family val="2"/>
      </rPr>
      <t xml:space="preserve">. PK </t>
    </r>
    <r>
      <rPr>
        <sz val="9"/>
        <color rgb="FF000000"/>
        <rFont val="Noto Sans CJK SC"/>
        <family val="2"/>
      </rPr>
      <t xml:space="preserve">없는 테이블 </t>
    </r>
    <r>
      <rPr>
        <sz val="9"/>
        <color rgb="FF000000"/>
        <rFont val="Arial"/>
        <family val="2"/>
      </rPr>
      <t xml:space="preserve">ALL COLUMNS </t>
    </r>
    <r>
      <rPr>
        <sz val="9"/>
        <color rgb="FF000000"/>
        <rFont val="Noto Sans CJK SC"/>
        <family val="2"/>
      </rPr>
      <t>로깅 수동 설정</t>
    </r>
  </si>
  <si>
    <r>
      <rPr>
        <b/>
        <sz val="9"/>
        <color rgb="FF000000"/>
        <rFont val="Arial"/>
        <family val="2"/>
      </rPr>
      <t xml:space="preserve">Streams Pool </t>
    </r>
    <r>
      <rPr>
        <b/>
        <sz val="9"/>
        <color rgb="FF000000"/>
        <rFont val="Noto Sans CJK SC"/>
        <family val="2"/>
      </rPr>
      <t>메모리</t>
    </r>
  </si>
  <si>
    <r>
      <rPr>
        <sz val="9"/>
        <color rgb="FF000000"/>
        <rFont val="Arial"/>
        <family val="2"/>
      </rPr>
      <t xml:space="preserve">SGA </t>
    </r>
    <r>
      <rPr>
        <sz val="9"/>
        <color rgb="FF000000"/>
        <rFont val="Noto Sans CJK SC"/>
        <family val="2"/>
      </rPr>
      <t xml:space="preserve">내 </t>
    </r>
    <r>
      <rPr>
        <sz val="9"/>
        <color rgb="FF000000"/>
        <rFont val="Arial"/>
        <family val="2"/>
      </rPr>
      <t xml:space="preserve">Streams Pool </t>
    </r>
    <r>
      <rPr>
        <sz val="9"/>
        <color rgb="FF000000"/>
        <rFont val="Noto Sans CJK SC"/>
        <family val="2"/>
      </rPr>
      <t xml:space="preserve">수동 설정 필요 </t>
    </r>
    <r>
      <rPr>
        <sz val="9"/>
        <color rgb="FF000000"/>
        <rFont val="Arial"/>
        <family val="2"/>
      </rPr>
      <t>(STREAMS_POOL_SIZE)</t>
    </r>
  </si>
  <si>
    <r>
      <rPr>
        <b/>
        <sz val="9"/>
        <color rgb="FF000000"/>
        <rFont val="Arial"/>
        <family val="2"/>
      </rPr>
      <t xml:space="preserve">DDL Replication </t>
    </r>
    <r>
      <rPr>
        <b/>
        <sz val="9"/>
        <color rgb="FF000000"/>
        <rFont val="Noto Sans CJK SC"/>
        <family val="2"/>
      </rPr>
      <t>제한</t>
    </r>
  </si>
  <si>
    <r>
      <rPr>
        <sz val="9"/>
        <color rgb="FF000000"/>
        <rFont val="Arial"/>
        <family val="2"/>
      </rPr>
      <t>SE</t>
    </r>
    <r>
      <rPr>
        <sz val="9"/>
        <color rgb="FF000000"/>
        <rFont val="Noto Sans CJK SC"/>
        <family val="2"/>
      </rPr>
      <t xml:space="preserve">는 일부 </t>
    </r>
    <r>
      <rPr>
        <sz val="9"/>
        <color rgb="FF000000"/>
        <rFont val="Arial"/>
        <family val="2"/>
      </rPr>
      <t xml:space="preserve">DDL </t>
    </r>
    <r>
      <rPr>
        <sz val="9"/>
        <color rgb="FF000000"/>
        <rFont val="Noto Sans CJK SC"/>
        <family val="2"/>
      </rPr>
      <t>복제 미지원</t>
    </r>
    <r>
      <rPr>
        <sz val="9"/>
        <color rgb="FF000000"/>
        <rFont val="Arial"/>
        <family val="2"/>
      </rPr>
      <t xml:space="preserve">. </t>
    </r>
    <r>
      <rPr>
        <sz val="9"/>
        <color rgb="FF000000"/>
        <rFont val="Noto Sans CJK SC"/>
        <family val="2"/>
      </rPr>
      <t xml:space="preserve">지원 </t>
    </r>
    <r>
      <rPr>
        <sz val="9"/>
        <color rgb="FF000000"/>
        <rFont val="Arial"/>
        <family val="2"/>
      </rPr>
      <t xml:space="preserve">DDL </t>
    </r>
    <r>
      <rPr>
        <sz val="9"/>
        <color rgb="FF000000"/>
        <rFont val="Noto Sans CJK SC"/>
        <family val="2"/>
      </rPr>
      <t>유형 사전 확인 필수</t>
    </r>
  </si>
  <si>
    <r>
      <rPr>
        <b/>
        <sz val="9"/>
        <color rgb="FF000000"/>
        <rFont val="Arial"/>
        <family val="2"/>
      </rPr>
      <t xml:space="preserve">BITMAP Index </t>
    </r>
    <r>
      <rPr>
        <b/>
        <sz val="9"/>
        <color rgb="FF000000"/>
        <rFont val="Noto Sans CJK SC"/>
        <family val="2"/>
      </rPr>
      <t>미지원</t>
    </r>
  </si>
  <si>
    <r>
      <rPr>
        <sz val="9"/>
        <color rgb="FF000000"/>
        <rFont val="Arial"/>
        <family val="2"/>
      </rPr>
      <t>SE</t>
    </r>
    <r>
      <rPr>
        <sz val="9"/>
        <color rgb="FF000000"/>
        <rFont val="Noto Sans CJK SC"/>
        <family val="2"/>
      </rPr>
      <t xml:space="preserve">는 </t>
    </r>
    <r>
      <rPr>
        <sz val="9"/>
        <color rgb="FF000000"/>
        <rFont val="Arial"/>
        <family val="2"/>
      </rPr>
      <t xml:space="preserve">BITMAP Index </t>
    </r>
    <r>
      <rPr>
        <sz val="9"/>
        <color rgb="FF000000"/>
        <rFont val="Noto Sans CJK SC"/>
        <family val="2"/>
      </rPr>
      <t xml:space="preserve">생성 불가 → 타겟에서 일반 </t>
    </r>
    <r>
      <rPr>
        <sz val="9"/>
        <color rgb="FF000000"/>
        <rFont val="Arial"/>
        <family val="2"/>
      </rPr>
      <t>Index</t>
    </r>
    <r>
      <rPr>
        <sz val="9"/>
        <color rgb="FF000000"/>
        <rFont val="Noto Sans CJK SC"/>
        <family val="2"/>
      </rPr>
      <t>로 대체</t>
    </r>
  </si>
  <si>
    <t>DBMS_JOB Deprecated</t>
  </si>
  <si>
    <r>
      <rPr>
        <sz val="9"/>
        <color rgb="FF000000"/>
        <rFont val="Arial"/>
        <family val="2"/>
      </rPr>
      <t>SE 19c</t>
    </r>
    <r>
      <rPr>
        <sz val="9"/>
        <color rgb="FF000000"/>
        <rFont val="Noto Sans CJK SC"/>
        <family val="2"/>
      </rPr>
      <t xml:space="preserve">에서 </t>
    </r>
    <r>
      <rPr>
        <sz val="9"/>
        <color rgb="FF000000"/>
        <rFont val="Arial"/>
        <family val="2"/>
      </rPr>
      <t xml:space="preserve">DBMS_JOB → DBMS_SCHEDULER </t>
    </r>
    <r>
      <rPr>
        <sz val="9"/>
        <color rgb="FF000000"/>
        <rFont val="Noto Sans CJK SC"/>
        <family val="2"/>
      </rPr>
      <t>전환 권장</t>
    </r>
  </si>
  <si>
    <r>
      <rPr>
        <b/>
        <sz val="9"/>
        <color rgb="FF000000"/>
        <rFont val="Arial"/>
        <family val="2"/>
      </rPr>
      <t xml:space="preserve">RDS Redo Log </t>
    </r>
    <r>
      <rPr>
        <b/>
        <sz val="9"/>
        <color rgb="FF000000"/>
        <rFont val="Noto Sans CJK SC"/>
        <family val="2"/>
      </rPr>
      <t>보존</t>
    </r>
  </si>
  <si>
    <r>
      <rPr>
        <sz val="9"/>
        <color rgb="FF000000"/>
        <rFont val="Arial"/>
        <family val="2"/>
      </rPr>
      <t>AWS RDS</t>
    </r>
    <r>
      <rPr>
        <sz val="9"/>
        <color rgb="FF000000"/>
        <rFont val="Noto Sans CJK SC"/>
        <family val="2"/>
      </rPr>
      <t xml:space="preserve">는 기본 보존 </t>
    </r>
    <r>
      <rPr>
        <sz val="9"/>
        <color rgb="FF000000"/>
        <rFont val="Arial"/>
        <family val="2"/>
      </rPr>
      <t xml:space="preserve">1h → </t>
    </r>
    <r>
      <rPr>
        <sz val="9"/>
        <color rgb="FF000000"/>
        <rFont val="Noto Sans CJK SC"/>
        <family val="2"/>
      </rPr>
      <t xml:space="preserve">최소 </t>
    </r>
    <r>
      <rPr>
        <sz val="9"/>
        <color rgb="FF000000"/>
        <rFont val="Arial"/>
        <family val="2"/>
      </rPr>
      <t>24h</t>
    </r>
    <r>
      <rPr>
        <sz val="9"/>
        <color rgb="FF000000"/>
        <rFont val="Noto Sans CJK SC"/>
        <family val="2"/>
      </rPr>
      <t xml:space="preserve">로 연장 필수 </t>
    </r>
    <r>
      <rPr>
        <sz val="9"/>
        <color rgb="FF000000"/>
        <rFont val="Arial"/>
        <family val="2"/>
      </rPr>
      <t xml:space="preserve">(Extract </t>
    </r>
    <r>
      <rPr>
        <sz val="9"/>
        <color rgb="FF000000"/>
        <rFont val="Noto Sans CJK SC"/>
        <family val="2"/>
      </rPr>
      <t>지연 대비</t>
    </r>
    <r>
      <rPr>
        <sz val="9"/>
        <color rgb="FF000000"/>
        <rFont val="Arial"/>
        <family val="2"/>
      </rPr>
      <t>)</t>
    </r>
  </si>
  <si>
    <t>☁️OCI</t>
  </si>
  <si>
    <r>
      <rPr>
        <b/>
        <sz val="9"/>
        <color rgb="FF000000"/>
        <rFont val="Arial"/>
        <family val="2"/>
      </rPr>
      <t xml:space="preserve">Cloud </t>
    </r>
    <r>
      <rPr>
        <b/>
        <sz val="9"/>
        <color rgb="FF000000"/>
        <rFont val="Noto Sans CJK SC"/>
        <family val="2"/>
      </rPr>
      <t xml:space="preserve">버전 </t>
    </r>
    <r>
      <rPr>
        <b/>
        <sz val="9"/>
        <color rgb="FF000000"/>
        <rFont val="Arial"/>
        <family val="2"/>
      </rPr>
      <t xml:space="preserve">DDL </t>
    </r>
    <r>
      <rPr>
        <b/>
        <sz val="9"/>
        <color rgb="FF000000"/>
        <rFont val="Noto Sans CJK SC"/>
        <family val="2"/>
      </rPr>
      <t>제약</t>
    </r>
  </si>
  <si>
    <r>
      <rPr>
        <sz val="9"/>
        <color rgb="FF000000"/>
        <rFont val="Arial"/>
        <family val="2"/>
      </rPr>
      <t xml:space="preserve">On-Premise GG </t>
    </r>
    <r>
      <rPr>
        <sz val="9"/>
        <color rgb="FF000000"/>
        <rFont val="Noto Sans CJK SC"/>
        <family val="2"/>
      </rPr>
      <t xml:space="preserve">대비 </t>
    </r>
    <r>
      <rPr>
        <sz val="9"/>
        <color rgb="FF000000"/>
        <rFont val="Arial"/>
        <family val="2"/>
      </rPr>
      <t xml:space="preserve">DDL Replication </t>
    </r>
    <r>
      <rPr>
        <sz val="9"/>
        <color rgb="FF000000"/>
        <rFont val="Noto Sans CJK SC"/>
        <family val="2"/>
      </rPr>
      <t>지원 범위 상이</t>
    </r>
    <r>
      <rPr>
        <sz val="9"/>
        <color rgb="FF000000"/>
        <rFont val="Arial"/>
        <family val="2"/>
      </rPr>
      <t xml:space="preserve">. </t>
    </r>
    <r>
      <rPr>
        <sz val="9"/>
        <color rgb="FF000000"/>
        <rFont val="Noto Sans CJK SC"/>
        <family val="2"/>
      </rPr>
      <t>릴리즈 노트 확인</t>
    </r>
  </si>
  <si>
    <r>
      <rPr>
        <b/>
        <sz val="9"/>
        <color rgb="FF000000"/>
        <rFont val="Arial"/>
        <family val="2"/>
      </rPr>
      <t xml:space="preserve">Trail File </t>
    </r>
    <r>
      <rPr>
        <b/>
        <sz val="9"/>
        <color rgb="FF000000"/>
        <rFont val="Noto Sans CJK SC"/>
        <family val="2"/>
      </rPr>
      <t>저장소</t>
    </r>
  </si>
  <si>
    <r>
      <rPr>
        <sz val="9"/>
        <color rgb="FF000000"/>
        <rFont val="Arial"/>
        <family val="2"/>
      </rPr>
      <t xml:space="preserve">OCI Object Storage </t>
    </r>
    <r>
      <rPr>
        <sz val="9"/>
        <color rgb="FF000000"/>
        <rFont val="Noto Sans CJK SC"/>
        <family val="2"/>
      </rPr>
      <t xml:space="preserve">기반 </t>
    </r>
    <r>
      <rPr>
        <sz val="9"/>
        <color rgb="FF000000"/>
        <rFont val="Arial"/>
        <family val="2"/>
      </rPr>
      <t xml:space="preserve">Trail. </t>
    </r>
    <r>
      <rPr>
        <sz val="9"/>
        <color rgb="FF000000"/>
        <rFont val="Noto Sans CJK SC"/>
        <family val="2"/>
      </rPr>
      <t>비용 및 보존 정책 사전 설정</t>
    </r>
  </si>
  <si>
    <t>네트워크 지연</t>
  </si>
  <si>
    <r>
      <rPr>
        <sz val="9"/>
        <color rgb="FF000000"/>
        <rFont val="Arial"/>
        <family val="2"/>
      </rPr>
      <t xml:space="preserve">RDS(AWS Tokyo) → OCI GG(OCI Tokyo) </t>
    </r>
    <r>
      <rPr>
        <sz val="9"/>
        <color rgb="FF000000"/>
        <rFont val="Noto Sans CJK SC"/>
        <family val="2"/>
      </rPr>
      <t xml:space="preserve">구간 </t>
    </r>
    <r>
      <rPr>
        <sz val="9"/>
        <color rgb="FF000000"/>
        <rFont val="Arial"/>
        <family val="2"/>
      </rPr>
      <t xml:space="preserve">Latency LAG </t>
    </r>
    <r>
      <rPr>
        <sz val="9"/>
        <color rgb="FF000000"/>
        <rFont val="Noto Sans CJK SC"/>
        <family val="2"/>
      </rPr>
      <t>영향</t>
    </r>
  </si>
  <si>
    <r>
      <rPr>
        <b/>
        <sz val="9"/>
        <color rgb="FF000000"/>
        <rFont val="Arial"/>
        <family val="2"/>
      </rPr>
      <t xml:space="preserve">Deployment </t>
    </r>
    <r>
      <rPr>
        <b/>
        <sz val="9"/>
        <color rgb="FF000000"/>
        <rFont val="Noto Sans CJK SC"/>
        <family val="2"/>
      </rPr>
      <t>버전 호환</t>
    </r>
  </si>
  <si>
    <r>
      <rPr>
        <sz val="9"/>
        <color rgb="FF000000"/>
        <rFont val="Arial"/>
        <family val="2"/>
      </rPr>
      <t xml:space="preserve">Oracle 19c SE </t>
    </r>
    <r>
      <rPr>
        <sz val="9"/>
        <color rgb="FF000000"/>
        <rFont val="Noto Sans CJK SC"/>
        <family val="2"/>
      </rPr>
      <t xml:space="preserve">지원 </t>
    </r>
    <r>
      <rPr>
        <sz val="9"/>
        <color rgb="FF000000"/>
        <rFont val="Arial"/>
        <family val="2"/>
      </rPr>
      <t xml:space="preserve">OCI GG </t>
    </r>
    <r>
      <rPr>
        <sz val="9"/>
        <color rgb="FF000000"/>
        <rFont val="Noto Sans CJK SC"/>
        <family val="2"/>
      </rPr>
      <t>버전 확인</t>
    </r>
    <r>
      <rPr>
        <sz val="9"/>
        <color rgb="FF000000"/>
        <rFont val="Arial"/>
        <family val="2"/>
      </rPr>
      <t xml:space="preserve">. </t>
    </r>
    <r>
      <rPr>
        <sz val="9"/>
        <color rgb="FF000000"/>
        <rFont val="Noto Sans CJK SC"/>
        <family val="2"/>
      </rPr>
      <t>자동 업데이트 정책 관리</t>
    </r>
  </si>
  <si>
    <r>
      <rPr>
        <b/>
        <sz val="9"/>
        <color rgb="FF000000"/>
        <rFont val="Arial"/>
        <family val="2"/>
      </rPr>
      <t xml:space="preserve">MV </t>
    </r>
    <r>
      <rPr>
        <b/>
        <sz val="9"/>
        <color rgb="FF000000"/>
        <rFont val="Noto Sans CJK SC"/>
        <family val="2"/>
      </rPr>
      <t>복제 미지원</t>
    </r>
  </si>
  <si>
    <r>
      <rPr>
        <sz val="9"/>
        <color rgb="FF000000"/>
        <rFont val="Arial"/>
        <family val="2"/>
      </rPr>
      <t xml:space="preserve">MV </t>
    </r>
    <r>
      <rPr>
        <sz val="9"/>
        <color rgb="FF000000"/>
        <rFont val="Noto Sans CJK SC"/>
        <family val="2"/>
      </rPr>
      <t xml:space="preserve">자체는 </t>
    </r>
    <r>
      <rPr>
        <sz val="9"/>
        <color rgb="FF000000"/>
        <rFont val="Arial"/>
        <family val="2"/>
      </rPr>
      <t xml:space="preserve">OCI GG </t>
    </r>
    <r>
      <rPr>
        <sz val="9"/>
        <color rgb="FF000000"/>
        <rFont val="Noto Sans CJK SC"/>
        <family val="2"/>
      </rPr>
      <t xml:space="preserve">복제 불가 → 타겟에서 수동 재생성 후 </t>
    </r>
    <r>
      <rPr>
        <sz val="9"/>
        <color rgb="FF000000"/>
        <rFont val="Arial"/>
        <family val="2"/>
      </rPr>
      <t>REFRESH</t>
    </r>
  </si>
  <si>
    <r>
      <rPr>
        <b/>
        <sz val="9"/>
        <color rgb="FF000000"/>
        <rFont val="Arial"/>
        <family val="2"/>
      </rPr>
      <t xml:space="preserve">DB Link </t>
    </r>
    <r>
      <rPr>
        <b/>
        <sz val="9"/>
        <color rgb="FF000000"/>
        <rFont val="Noto Sans CJK SC"/>
        <family val="2"/>
      </rPr>
      <t>복제 미지원</t>
    </r>
  </si>
  <si>
    <r>
      <rPr>
        <sz val="9"/>
        <color rgb="FF000000"/>
        <rFont val="Arial"/>
        <family val="2"/>
      </rPr>
      <t>DB Link</t>
    </r>
    <r>
      <rPr>
        <sz val="9"/>
        <color rgb="FF000000"/>
        <rFont val="Noto Sans CJK SC"/>
        <family val="2"/>
      </rPr>
      <t xml:space="preserve">는 </t>
    </r>
    <r>
      <rPr>
        <sz val="9"/>
        <color rgb="FF000000"/>
        <rFont val="Arial"/>
        <family val="2"/>
      </rPr>
      <t xml:space="preserve">GG </t>
    </r>
    <r>
      <rPr>
        <sz val="9"/>
        <color rgb="FF000000"/>
        <rFont val="Noto Sans CJK SC"/>
        <family val="2"/>
      </rPr>
      <t>복제 범위 외 → 타겟 환경에 맞게 수동 재생성</t>
    </r>
  </si>
  <si>
    <t>Cut-over</t>
  </si>
  <si>
    <r>
      <rPr>
        <b/>
        <sz val="9"/>
        <color rgb="FF000000"/>
        <rFont val="Arial"/>
        <family val="2"/>
      </rPr>
      <t xml:space="preserve">SCN </t>
    </r>
    <r>
      <rPr>
        <b/>
        <sz val="9"/>
        <color rgb="FF000000"/>
        <rFont val="Noto Sans CJK SC"/>
        <family val="2"/>
      </rPr>
      <t>기반 동기화</t>
    </r>
  </si>
  <si>
    <r>
      <rPr>
        <sz val="9"/>
        <color rgb="FF000000"/>
        <rFont val="Arial"/>
        <family val="2"/>
      </rPr>
      <t xml:space="preserve">Cut-over </t>
    </r>
    <r>
      <rPr>
        <sz val="9"/>
        <color rgb="FF000000"/>
        <rFont val="Noto Sans CJK SC"/>
        <family val="2"/>
      </rPr>
      <t xml:space="preserve">시점 소스 </t>
    </r>
    <r>
      <rPr>
        <sz val="9"/>
        <color rgb="FF000000"/>
        <rFont val="Arial"/>
        <family val="2"/>
      </rPr>
      <t xml:space="preserve">CURRENT_SCN </t>
    </r>
    <r>
      <rPr>
        <sz val="9"/>
        <color rgb="FF000000"/>
        <rFont val="Noto Sans CJK SC"/>
        <family val="2"/>
      </rPr>
      <t>고정 후 타겟 적용 완료 확인</t>
    </r>
  </si>
  <si>
    <r>
      <rPr>
        <b/>
        <sz val="9"/>
        <color rgb="FF000000"/>
        <rFont val="Arial"/>
        <family val="2"/>
      </rPr>
      <t xml:space="preserve">Sequence </t>
    </r>
    <r>
      <rPr>
        <b/>
        <sz val="9"/>
        <color rgb="FF000000"/>
        <rFont val="Noto Sans CJK SC"/>
        <family val="2"/>
      </rPr>
      <t>재설정</t>
    </r>
  </si>
  <si>
    <r>
      <rPr>
        <sz val="9"/>
        <color rgb="FF000000"/>
        <rFont val="Arial"/>
        <family val="2"/>
      </rPr>
      <t xml:space="preserve">Cut-over </t>
    </r>
    <r>
      <rPr>
        <sz val="9"/>
        <color rgb="FF000000"/>
        <rFont val="Noto Sans CJK SC"/>
        <family val="2"/>
      </rPr>
      <t xml:space="preserve">후 타겟 </t>
    </r>
    <r>
      <rPr>
        <sz val="9"/>
        <color rgb="FF000000"/>
        <rFont val="Arial"/>
        <family val="2"/>
      </rPr>
      <t>Sequence</t>
    </r>
    <r>
      <rPr>
        <sz val="9"/>
        <color rgb="FF000000"/>
        <rFont val="Noto Sans CJK SC"/>
        <family val="2"/>
      </rPr>
      <t xml:space="preserve">를 소스 </t>
    </r>
    <r>
      <rPr>
        <sz val="9"/>
        <color rgb="FF000000"/>
        <rFont val="Arial"/>
        <family val="2"/>
      </rPr>
      <t>MAX</t>
    </r>
    <r>
      <rPr>
        <sz val="9"/>
        <color rgb="FF000000"/>
        <rFont val="Noto Sans CJK SC"/>
        <family val="2"/>
      </rPr>
      <t xml:space="preserve">값 </t>
    </r>
    <r>
      <rPr>
        <sz val="9"/>
        <color rgb="FF000000"/>
        <rFont val="Arial"/>
        <family val="2"/>
      </rPr>
      <t xml:space="preserve">+ </t>
    </r>
    <r>
      <rPr>
        <sz val="9"/>
        <color rgb="FF000000"/>
        <rFont val="Noto Sans CJK SC"/>
        <family val="2"/>
      </rPr>
      <t>여유분으로 재설정</t>
    </r>
  </si>
  <si>
    <r>
      <rPr>
        <b/>
        <sz val="9"/>
        <color rgb="FF000000"/>
        <rFont val="Arial"/>
        <family val="2"/>
      </rPr>
      <t xml:space="preserve">Trigger </t>
    </r>
    <r>
      <rPr>
        <b/>
        <sz val="9"/>
        <color rgb="FF000000"/>
        <rFont val="Noto Sans CJK SC"/>
        <family val="2"/>
      </rPr>
      <t>재활성화</t>
    </r>
  </si>
  <si>
    <r>
      <rPr>
        <sz val="9"/>
        <color rgb="FF000000"/>
        <rFont val="Arial"/>
        <family val="2"/>
      </rPr>
      <t xml:space="preserve">Replicat </t>
    </r>
    <r>
      <rPr>
        <sz val="9"/>
        <color rgb="FF000000"/>
        <rFont val="Noto Sans CJK SC"/>
        <family val="2"/>
      </rPr>
      <t xml:space="preserve">중단 후 타겟 </t>
    </r>
    <r>
      <rPr>
        <sz val="9"/>
        <color rgb="FF000000"/>
        <rFont val="Arial"/>
        <family val="2"/>
      </rPr>
      <t xml:space="preserve">Trigger </t>
    </r>
    <r>
      <rPr>
        <sz val="9"/>
        <color rgb="FF000000"/>
        <rFont val="Noto Sans CJK SC"/>
        <family val="2"/>
      </rPr>
      <t xml:space="preserve">일괄 </t>
    </r>
    <r>
      <rPr>
        <sz val="9"/>
        <color rgb="FF000000"/>
        <rFont val="Arial"/>
        <family val="2"/>
      </rPr>
      <t xml:space="preserve">ENABLE </t>
    </r>
    <r>
      <rPr>
        <sz val="9"/>
        <color rgb="FF000000"/>
        <rFont val="Noto Sans CJK SC"/>
        <family val="2"/>
      </rPr>
      <t>확인</t>
    </r>
  </si>
  <si>
    <r>
      <rPr>
        <b/>
        <sz val="9"/>
        <color rgb="FF000000"/>
        <rFont val="Arial"/>
        <family val="2"/>
      </rPr>
      <t xml:space="preserve">FK Constraint </t>
    </r>
    <r>
      <rPr>
        <b/>
        <sz val="9"/>
        <color rgb="FF000000"/>
        <rFont val="Noto Sans CJK SC"/>
        <family val="2"/>
      </rPr>
      <t>재활성화</t>
    </r>
  </si>
  <si>
    <r>
      <rPr>
        <sz val="9"/>
        <color rgb="FF000000"/>
        <rFont val="Noto Sans CJK SC"/>
        <family val="2"/>
      </rPr>
      <t xml:space="preserve">복제 중 </t>
    </r>
    <r>
      <rPr>
        <sz val="9"/>
        <color rgb="FF000000"/>
        <rFont val="Arial"/>
        <family val="2"/>
      </rPr>
      <t>DISABLED</t>
    </r>
    <r>
      <rPr>
        <sz val="9"/>
        <color rgb="FF000000"/>
        <rFont val="Noto Sans CJK SC"/>
        <family val="2"/>
      </rPr>
      <t xml:space="preserve">된 </t>
    </r>
    <r>
      <rPr>
        <sz val="9"/>
        <color rgb="FF000000"/>
        <rFont val="Arial"/>
        <family val="2"/>
      </rPr>
      <t xml:space="preserve">FK </t>
    </r>
    <r>
      <rPr>
        <sz val="9"/>
        <color rgb="FF000000"/>
        <rFont val="Noto Sans CJK SC"/>
        <family val="2"/>
      </rPr>
      <t xml:space="preserve">일괄 </t>
    </r>
    <r>
      <rPr>
        <sz val="9"/>
        <color rgb="FF000000"/>
        <rFont val="Arial"/>
        <family val="2"/>
      </rPr>
      <t xml:space="preserve">ENABLE </t>
    </r>
    <r>
      <rPr>
        <sz val="9"/>
        <color rgb="FF000000"/>
        <rFont val="Noto Sans CJK SC"/>
        <family val="2"/>
      </rPr>
      <t>후 무결성 검증</t>
    </r>
  </si>
  <si>
    <r>
      <rPr>
        <b/>
        <sz val="9"/>
        <color rgb="FF000000"/>
        <rFont val="Arial"/>
        <family val="2"/>
      </rPr>
      <t xml:space="preserve">DBMS_JOB/Scheduler </t>
    </r>
    <r>
      <rPr>
        <b/>
        <sz val="9"/>
        <color rgb="FF000000"/>
        <rFont val="Noto Sans CJK SC"/>
        <family val="2"/>
      </rPr>
      <t>활성화</t>
    </r>
  </si>
  <si>
    <r>
      <rPr>
        <sz val="9"/>
        <color rgb="FF000000"/>
        <rFont val="Noto Sans CJK SC"/>
        <family val="2"/>
      </rPr>
      <t xml:space="preserve">타겟 </t>
    </r>
    <r>
      <rPr>
        <sz val="9"/>
        <color rgb="FF000000"/>
        <rFont val="Arial"/>
        <family val="2"/>
      </rPr>
      <t xml:space="preserve">JOB ENABLE </t>
    </r>
    <r>
      <rPr>
        <sz val="9"/>
        <color rgb="FF000000"/>
        <rFont val="Noto Sans CJK SC"/>
        <family val="2"/>
      </rPr>
      <t xml:space="preserve">및 </t>
    </r>
    <r>
      <rPr>
        <sz val="9"/>
        <color rgb="FF000000"/>
        <rFont val="Arial"/>
        <family val="2"/>
      </rPr>
      <t xml:space="preserve">NEXT_RUN_DATE </t>
    </r>
    <r>
      <rPr>
        <sz val="9"/>
        <color rgb="FF000000"/>
        <rFont val="Noto Sans CJK SC"/>
        <family val="2"/>
      </rPr>
      <t>재설정</t>
    </r>
  </si>
  <si>
    <r>
      <rPr>
        <b/>
        <sz val="9"/>
        <color rgb="FF000000"/>
        <rFont val="Arial"/>
        <family val="2"/>
      </rPr>
      <t xml:space="preserve">DB Link </t>
    </r>
    <r>
      <rPr>
        <b/>
        <sz val="9"/>
        <color rgb="FF000000"/>
        <rFont val="Noto Sans CJK SC"/>
        <family val="2"/>
      </rPr>
      <t>연결 전환</t>
    </r>
  </si>
  <si>
    <r>
      <rPr>
        <sz val="9"/>
        <color rgb="FF000000"/>
        <rFont val="Noto Sans CJK SC"/>
        <family val="2"/>
      </rPr>
      <t xml:space="preserve">소스 </t>
    </r>
    <r>
      <rPr>
        <sz val="9"/>
        <color rgb="FF000000"/>
        <rFont val="Arial"/>
        <family val="2"/>
      </rPr>
      <t xml:space="preserve">DB Link → </t>
    </r>
    <r>
      <rPr>
        <sz val="9"/>
        <color rgb="FF000000"/>
        <rFont val="Noto Sans CJK SC"/>
        <family val="2"/>
      </rPr>
      <t>타겟 환경 연결로 전환 테스트</t>
    </r>
  </si>
  <si>
    <r>
      <rPr>
        <b/>
        <sz val="9"/>
        <color rgb="FF000000"/>
        <rFont val="Arial"/>
        <family val="2"/>
      </rPr>
      <t xml:space="preserve">LAG </t>
    </r>
    <r>
      <rPr>
        <b/>
        <sz val="9"/>
        <color rgb="FF000000"/>
        <rFont val="Noto Sans CJK SC"/>
        <family val="2"/>
      </rPr>
      <t>임계치 알람</t>
    </r>
  </si>
  <si>
    <r>
      <rPr>
        <sz val="9"/>
        <color rgb="FF000000"/>
        <rFont val="Arial"/>
        <family val="2"/>
      </rPr>
      <t>Extract/Replicat LAG &gt; 30</t>
    </r>
    <r>
      <rPr>
        <sz val="9"/>
        <color rgb="FF000000"/>
        <rFont val="Noto Sans CJK SC"/>
        <family val="2"/>
      </rPr>
      <t>초 알람 설정 및 대응 절차 수립</t>
    </r>
  </si>
  <si>
    <r>
      <rPr>
        <b/>
        <sz val="9"/>
        <color rgb="FF000000"/>
        <rFont val="Arial"/>
        <family val="2"/>
      </rPr>
      <t xml:space="preserve">Supplemental Logging </t>
    </r>
    <r>
      <rPr>
        <b/>
        <sz val="9"/>
        <color rgb="FF000000"/>
        <rFont val="Noto Sans CJK SC"/>
        <family val="2"/>
      </rPr>
      <t>유지</t>
    </r>
  </si>
  <si>
    <r>
      <rPr>
        <sz val="9"/>
        <color rgb="FF000000"/>
        <rFont val="Arial"/>
        <family val="2"/>
      </rPr>
      <t xml:space="preserve">DDL </t>
    </r>
    <r>
      <rPr>
        <sz val="9"/>
        <color rgb="FF000000"/>
        <rFont val="Noto Sans CJK SC"/>
        <family val="2"/>
      </rPr>
      <t xml:space="preserve">변경 후 </t>
    </r>
    <r>
      <rPr>
        <sz val="9"/>
        <color rgb="FF000000"/>
        <rFont val="Arial"/>
        <family val="2"/>
      </rPr>
      <t xml:space="preserve">Supplemental Log </t>
    </r>
    <r>
      <rPr>
        <sz val="9"/>
        <color rgb="FF000000"/>
        <rFont val="Noto Sans CJK SC"/>
        <family val="2"/>
      </rPr>
      <t>설정 누락 방지 프로세스</t>
    </r>
  </si>
  <si>
    <r>
      <rPr>
        <b/>
        <sz val="9"/>
        <color rgb="FF000000"/>
        <rFont val="Arial"/>
        <family val="2"/>
      </rPr>
      <t xml:space="preserve">GGADMIN </t>
    </r>
    <r>
      <rPr>
        <b/>
        <sz val="9"/>
        <color rgb="FF000000"/>
        <rFont val="Noto Sans CJK SC"/>
        <family val="2"/>
      </rPr>
      <t>비밀번호 만료</t>
    </r>
  </si>
  <si>
    <r>
      <rPr>
        <sz val="9"/>
        <color rgb="FF000000"/>
        <rFont val="Noto Sans CJK SC"/>
        <family val="2"/>
      </rPr>
      <t xml:space="preserve">패스워드 만료 시 </t>
    </r>
    <r>
      <rPr>
        <sz val="9"/>
        <color rgb="FF000000"/>
        <rFont val="Arial"/>
        <family val="2"/>
      </rPr>
      <t xml:space="preserve">Extract ABEND → </t>
    </r>
    <r>
      <rPr>
        <sz val="9"/>
        <color rgb="FF000000"/>
        <rFont val="Noto Sans CJK SC"/>
        <family val="2"/>
      </rPr>
      <t>무제한 또는 갱신 절차 수립</t>
    </r>
  </si>
  <si>
    <r>
      <rPr>
        <b/>
        <sz val="9"/>
        <color rgb="FF000000"/>
        <rFont val="Arial"/>
        <family val="2"/>
      </rPr>
      <t xml:space="preserve">Trail File </t>
    </r>
    <r>
      <rPr>
        <b/>
        <sz val="9"/>
        <color rgb="FF000000"/>
        <rFont val="Noto Sans CJK SC"/>
        <family val="2"/>
      </rPr>
      <t>용량 모니터링</t>
    </r>
  </si>
  <si>
    <r>
      <rPr>
        <sz val="9"/>
        <color rgb="FF000000"/>
        <rFont val="Arial"/>
        <family val="2"/>
      </rPr>
      <t xml:space="preserve">LOB </t>
    </r>
    <r>
      <rPr>
        <sz val="9"/>
        <color rgb="FF000000"/>
        <rFont val="Noto Sans CJK SC"/>
        <family val="2"/>
      </rPr>
      <t xml:space="preserve">변경 빈발 시 </t>
    </r>
    <r>
      <rPr>
        <sz val="9"/>
        <color rgb="FF000000"/>
        <rFont val="Arial"/>
        <family val="2"/>
      </rPr>
      <t xml:space="preserve">Trail </t>
    </r>
    <r>
      <rPr>
        <sz val="9"/>
        <color rgb="FF000000"/>
        <rFont val="Noto Sans CJK SC"/>
        <family val="2"/>
      </rPr>
      <t xml:space="preserve">급증 → </t>
    </r>
    <r>
      <rPr>
        <sz val="9"/>
        <color rgb="FF000000"/>
        <rFont val="Arial"/>
        <family val="2"/>
      </rPr>
      <t xml:space="preserve">Object Storage </t>
    </r>
    <r>
      <rPr>
        <sz val="9"/>
        <color rgb="FF000000"/>
        <rFont val="Noto Sans CJK SC"/>
        <family val="2"/>
      </rPr>
      <t>임계치 알람</t>
    </r>
  </si>
  <si>
    <r>
      <rPr>
        <b/>
        <sz val="9"/>
        <color rgb="FF000000"/>
        <rFont val="Arial"/>
        <family val="2"/>
      </rPr>
      <t xml:space="preserve">Discard </t>
    </r>
    <r>
      <rPr>
        <b/>
        <sz val="9"/>
        <color rgb="FF000000"/>
        <rFont val="Noto Sans CJK SC"/>
        <family val="2"/>
      </rPr>
      <t>파일 정기 점검</t>
    </r>
  </si>
  <si>
    <r>
      <rPr>
        <sz val="9"/>
        <color rgb="FF000000"/>
        <rFont val="Noto Sans CJK SC"/>
        <family val="2"/>
      </rPr>
      <t xml:space="preserve">누적 </t>
    </r>
    <r>
      <rPr>
        <sz val="9"/>
        <color rgb="FF000000"/>
        <rFont val="Arial"/>
        <family val="2"/>
      </rPr>
      <t xml:space="preserve">Discard </t>
    </r>
    <r>
      <rPr>
        <sz val="9"/>
        <color rgb="FF000000"/>
        <rFont val="Noto Sans CJK SC"/>
        <family val="2"/>
      </rPr>
      <t>레코드 분석 → 데이터 오류 조기 감지</t>
    </r>
  </si>
  <si>
    <r>
      <rPr>
        <b/>
        <sz val="9"/>
        <color rgb="FF000000"/>
        <rFont val="Arial"/>
        <family val="2"/>
      </rPr>
      <t xml:space="preserve">NLS </t>
    </r>
    <r>
      <rPr>
        <b/>
        <sz val="9"/>
        <color rgb="FF000000"/>
        <rFont val="Noto Sans CJK SC"/>
        <family val="2"/>
      </rPr>
      <t>파라미터 변경 금지</t>
    </r>
  </si>
  <si>
    <r>
      <rPr>
        <sz val="9"/>
        <color rgb="FF000000"/>
        <rFont val="Noto Sans CJK SC"/>
        <family val="2"/>
      </rPr>
      <t xml:space="preserve">운영 중 </t>
    </r>
    <r>
      <rPr>
        <sz val="9"/>
        <color rgb="FF000000"/>
        <rFont val="Arial"/>
        <family val="2"/>
      </rPr>
      <t xml:space="preserve">NLS_CHARACTERSET / NLS_DATE_FORMAT </t>
    </r>
    <r>
      <rPr>
        <sz val="9"/>
        <color rgb="FF000000"/>
        <rFont val="Noto Sans CJK SC"/>
        <family val="2"/>
      </rPr>
      <t>변경 금지 정책</t>
    </r>
  </si>
  <si>
    <r>
      <rPr>
        <b/>
        <sz val="9"/>
        <color rgb="FF000000"/>
        <rFont val="Noto Sans CJK SC"/>
        <family val="2"/>
      </rPr>
      <t xml:space="preserve">신규 테이블 </t>
    </r>
    <r>
      <rPr>
        <b/>
        <sz val="9"/>
        <color rgb="FF000000"/>
        <rFont val="Arial"/>
        <family val="2"/>
      </rPr>
      <t xml:space="preserve">GG </t>
    </r>
    <r>
      <rPr>
        <b/>
        <sz val="9"/>
        <color rgb="FF000000"/>
        <rFont val="Noto Sans CJK SC"/>
        <family val="2"/>
      </rPr>
      <t>포함</t>
    </r>
  </si>
  <si>
    <r>
      <rPr>
        <sz val="9"/>
        <color rgb="FF000000"/>
        <rFont val="Noto Sans CJK SC"/>
        <family val="2"/>
      </rPr>
      <t xml:space="preserve">신규 테이블 생성 시 </t>
    </r>
    <r>
      <rPr>
        <sz val="9"/>
        <color rgb="FF000000"/>
        <rFont val="Arial"/>
        <family val="2"/>
      </rPr>
      <t xml:space="preserve">Supplemental Log </t>
    </r>
    <r>
      <rPr>
        <sz val="9"/>
        <color rgb="FF000000"/>
        <rFont val="Noto Sans CJK SC"/>
        <family val="2"/>
      </rPr>
      <t>자동 추가 절차 수립</t>
    </r>
  </si>
  <si>
    <r>
      <rPr>
        <b/>
        <sz val="18"/>
        <color rgb="FFFFFFFF"/>
        <rFont val="Arial"/>
        <family val="2"/>
      </rPr>
      <t xml:space="preserve">DB </t>
    </r>
    <r>
      <rPr>
        <b/>
        <sz val="18"/>
        <color rgb="FFFFFFFF"/>
        <rFont val="Noto Sans CJK SC"/>
        <family val="2"/>
      </rPr>
      <t>정합성 검증 결과 대시보드</t>
    </r>
  </si>
  <si>
    <t>전체 항목</t>
  </si>
  <si>
    <t>판정</t>
  </si>
  <si>
    <r>
      <rPr>
        <b/>
        <sz val="10"/>
        <color rgb="FF000000"/>
        <rFont val="Arial"/>
        <family val="2"/>
      </rPr>
      <t xml:space="preserve">① GG </t>
    </r>
    <r>
      <rPr>
        <b/>
        <sz val="10"/>
        <color rgb="FF000000"/>
        <rFont val="Noto Sans CJK SC"/>
        <family val="2"/>
      </rPr>
      <t>프로세스</t>
    </r>
  </si>
  <si>
    <t>② 정적 구조 검증</t>
  </si>
  <si>
    <t>③ 데이터 정합성</t>
  </si>
  <si>
    <t>④ 특수 객체</t>
  </si>
  <si>
    <t>합계</t>
  </si>
  <si>
    <r>
      <rPr>
        <b/>
        <sz val="12"/>
        <color rgb="FFFFFFFF"/>
        <rFont val="Arial"/>
        <family val="2"/>
      </rPr>
      <t xml:space="preserve">★  OCI GG </t>
    </r>
    <r>
      <rPr>
        <b/>
        <sz val="12"/>
        <color rgb="FFFFFFFF"/>
        <rFont val="Noto Sans CJK SC"/>
        <family val="2"/>
      </rPr>
      <t xml:space="preserve">상시 운영 </t>
    </r>
    <r>
      <rPr>
        <b/>
        <sz val="12"/>
        <color rgb="FFFFFFFF"/>
        <rFont val="Arial"/>
        <family val="2"/>
      </rPr>
      <t xml:space="preserve">Top 10 </t>
    </r>
    <r>
      <rPr>
        <b/>
        <sz val="12"/>
        <color rgb="FFFFFFFF"/>
        <rFont val="Noto Sans CJK SC"/>
        <family val="2"/>
      </rPr>
      <t>주의사항</t>
    </r>
  </si>
  <si>
    <r>
      <rPr>
        <b/>
        <sz val="10"/>
        <color rgb="FF000000"/>
        <rFont val="Arial"/>
        <family val="2"/>
      </rPr>
      <t xml:space="preserve">1. Extract / Replicat LAG </t>
    </r>
    <r>
      <rPr>
        <b/>
        <sz val="10"/>
        <color rgb="FF000000"/>
        <rFont val="Noto Sans CJK SC"/>
        <family val="2"/>
      </rPr>
      <t>상시 모니터링</t>
    </r>
  </si>
  <si>
    <r>
      <rPr>
        <sz val="9"/>
        <color rgb="FF000000"/>
        <rFont val="Arial"/>
        <family val="2"/>
      </rPr>
      <t>LAG &gt; 30</t>
    </r>
    <r>
      <rPr>
        <sz val="9"/>
        <color rgb="FF000000"/>
        <rFont val="Noto Sans CJK SC"/>
        <family val="2"/>
      </rPr>
      <t>초 알람 설정 필수</t>
    </r>
  </si>
  <si>
    <r>
      <rPr>
        <b/>
        <sz val="10"/>
        <color rgb="FF000000"/>
        <rFont val="Arial"/>
        <family val="2"/>
      </rPr>
      <t xml:space="preserve">2. ⚠️SE  PK </t>
    </r>
    <r>
      <rPr>
        <b/>
        <sz val="10"/>
        <color rgb="FF000000"/>
        <rFont val="Noto Sans CJK SC"/>
        <family val="2"/>
      </rPr>
      <t xml:space="preserve">없는 테이블 </t>
    </r>
    <r>
      <rPr>
        <b/>
        <sz val="10"/>
        <color rgb="FF000000"/>
        <rFont val="Arial"/>
        <family val="2"/>
      </rPr>
      <t>ALL COLUMNS Logging</t>
    </r>
  </si>
  <si>
    <r>
      <rPr>
        <sz val="9"/>
        <color rgb="FF000000"/>
        <rFont val="Arial"/>
        <family val="2"/>
      </rPr>
      <t xml:space="preserve">Supplemental Log </t>
    </r>
    <r>
      <rPr>
        <sz val="9"/>
        <color rgb="FF000000"/>
        <rFont val="Noto Sans CJK SC"/>
        <family val="2"/>
      </rPr>
      <t xml:space="preserve">누락 시 </t>
    </r>
    <r>
      <rPr>
        <sz val="9"/>
        <color rgb="FF000000"/>
        <rFont val="Arial"/>
        <family val="2"/>
      </rPr>
      <t>Extract ABEND</t>
    </r>
  </si>
  <si>
    <r>
      <rPr>
        <b/>
        <sz val="10"/>
        <color rgb="FF000000"/>
        <rFont val="Arial"/>
        <family val="2"/>
      </rPr>
      <t xml:space="preserve">3. Sequence GAP </t>
    </r>
    <r>
      <rPr>
        <b/>
        <sz val="10"/>
        <color rgb="FF000000"/>
        <rFont val="Noto Sans CJK SC"/>
        <family val="2"/>
      </rPr>
      <t>누적 관리</t>
    </r>
  </si>
  <si>
    <r>
      <rPr>
        <sz val="9"/>
        <color rgb="FF000000"/>
        <rFont val="Arial"/>
        <family val="2"/>
      </rPr>
      <t xml:space="preserve">Cut-over </t>
    </r>
    <r>
      <rPr>
        <sz val="9"/>
        <color rgb="FF000000"/>
        <rFont val="Noto Sans CJK SC"/>
        <family val="2"/>
      </rPr>
      <t xml:space="preserve">시 타겟 </t>
    </r>
    <r>
      <rPr>
        <sz val="9"/>
        <color rgb="FF000000"/>
        <rFont val="Arial"/>
        <family val="2"/>
      </rPr>
      <t xml:space="preserve">Sequence </t>
    </r>
    <r>
      <rPr>
        <sz val="9"/>
        <color rgb="FF000000"/>
        <rFont val="Noto Sans CJK SC"/>
        <family val="2"/>
      </rPr>
      <t xml:space="preserve">소스 </t>
    </r>
    <r>
      <rPr>
        <sz val="9"/>
        <color rgb="FF000000"/>
        <rFont val="Arial"/>
        <family val="2"/>
      </rPr>
      <t xml:space="preserve">MAX + </t>
    </r>
    <r>
      <rPr>
        <sz val="9"/>
        <color rgb="FF000000"/>
        <rFont val="Noto Sans CJK SC"/>
        <family val="2"/>
      </rPr>
      <t>여유분 재설정</t>
    </r>
  </si>
  <si>
    <r>
      <rPr>
        <b/>
        <sz val="10"/>
        <color rgb="FF000000"/>
        <rFont val="Arial"/>
        <family val="2"/>
      </rPr>
      <t xml:space="preserve">4. Trigger </t>
    </r>
    <r>
      <rPr>
        <b/>
        <sz val="10"/>
        <color rgb="FF000000"/>
        <rFont val="Noto Sans CJK SC"/>
        <family val="2"/>
      </rPr>
      <t>이중 실행 방지</t>
    </r>
  </si>
  <si>
    <r>
      <rPr>
        <sz val="9"/>
        <color rgb="FF000000"/>
        <rFont val="Arial"/>
        <family val="2"/>
      </rPr>
      <t xml:space="preserve">GGADMIN </t>
    </r>
    <r>
      <rPr>
        <sz val="9"/>
        <color rgb="FF000000"/>
        <rFont val="Noto Sans CJK SC"/>
        <family val="2"/>
      </rPr>
      <t xml:space="preserve">세션 대상 </t>
    </r>
    <r>
      <rPr>
        <sz val="9"/>
        <color rgb="FF000000"/>
        <rFont val="Arial"/>
        <family val="2"/>
      </rPr>
      <t xml:space="preserve">Trigger DISABLE </t>
    </r>
    <r>
      <rPr>
        <sz val="9"/>
        <color rgb="FF000000"/>
        <rFont val="Noto Sans CJK SC"/>
        <family val="2"/>
      </rPr>
      <t>로직 확인</t>
    </r>
  </si>
  <si>
    <r>
      <rPr>
        <b/>
        <sz val="10"/>
        <color rgb="FF000000"/>
        <rFont val="Arial"/>
        <family val="2"/>
      </rPr>
      <t xml:space="preserve">5. ☁️OCI  DDL Replication ABEND </t>
    </r>
    <r>
      <rPr>
        <b/>
        <sz val="10"/>
        <color rgb="FF000000"/>
        <rFont val="Noto Sans CJK SC"/>
        <family val="2"/>
      </rPr>
      <t>관리</t>
    </r>
  </si>
  <si>
    <r>
      <rPr>
        <sz val="9"/>
        <color rgb="FF000000"/>
        <rFont val="Noto Sans CJK SC"/>
        <family val="2"/>
      </rPr>
      <t xml:space="preserve">지원 외 </t>
    </r>
    <r>
      <rPr>
        <sz val="9"/>
        <color rgb="FF000000"/>
        <rFont val="Arial"/>
        <family val="2"/>
      </rPr>
      <t xml:space="preserve">DDL </t>
    </r>
    <r>
      <rPr>
        <sz val="9"/>
        <color rgb="FF000000"/>
        <rFont val="Noto Sans CJK SC"/>
        <family val="2"/>
      </rPr>
      <t>발생 시 수동 처리 절차 사전 수립</t>
    </r>
  </si>
  <si>
    <r>
      <rPr>
        <b/>
        <sz val="10"/>
        <color rgb="FF000000"/>
        <rFont val="Arial"/>
        <family val="2"/>
      </rPr>
      <t xml:space="preserve">6. ☁️OCI  RDS Redo Log </t>
    </r>
    <r>
      <rPr>
        <b/>
        <sz val="10"/>
        <color rgb="FF000000"/>
        <rFont val="Noto Sans CJK SC"/>
        <family val="2"/>
      </rPr>
      <t>보존 기간 관리</t>
    </r>
  </si>
  <si>
    <r>
      <rPr>
        <sz val="9"/>
        <color rgb="FF000000"/>
        <rFont val="Noto Sans CJK SC"/>
        <family val="2"/>
      </rPr>
      <t xml:space="preserve">최소 </t>
    </r>
    <r>
      <rPr>
        <sz val="9"/>
        <color rgb="FF000000"/>
        <rFont val="Arial"/>
        <family val="2"/>
      </rPr>
      <t xml:space="preserve">24h </t>
    </r>
    <r>
      <rPr>
        <sz val="9"/>
        <color rgb="FF000000"/>
        <rFont val="Noto Sans CJK SC"/>
        <family val="2"/>
      </rPr>
      <t xml:space="preserve">이상 유지 </t>
    </r>
    <r>
      <rPr>
        <sz val="9"/>
        <color rgb="FF000000"/>
        <rFont val="Arial"/>
        <family val="2"/>
      </rPr>
      <t xml:space="preserve">(Extract </t>
    </r>
    <r>
      <rPr>
        <sz val="9"/>
        <color rgb="FF000000"/>
        <rFont val="Noto Sans CJK SC"/>
        <family val="2"/>
      </rPr>
      <t>장애 복구 대비</t>
    </r>
    <r>
      <rPr>
        <sz val="9"/>
        <color rgb="FF000000"/>
        <rFont val="Arial"/>
        <family val="2"/>
      </rPr>
      <t>)</t>
    </r>
  </si>
  <si>
    <r>
      <rPr>
        <b/>
        <sz val="10"/>
        <color rgb="FF000000"/>
        <rFont val="Arial"/>
        <family val="2"/>
      </rPr>
      <t xml:space="preserve">7. GGADMIN </t>
    </r>
    <r>
      <rPr>
        <b/>
        <sz val="10"/>
        <color rgb="FF000000"/>
        <rFont val="Noto Sans CJK SC"/>
        <family val="2"/>
      </rPr>
      <t>비밀번호 만료 모니터링</t>
    </r>
  </si>
  <si>
    <r>
      <rPr>
        <sz val="9"/>
        <color rgb="FF000000"/>
        <rFont val="Noto Sans CJK SC"/>
        <family val="2"/>
      </rPr>
      <t xml:space="preserve">만료 시 </t>
    </r>
    <r>
      <rPr>
        <sz val="9"/>
        <color rgb="FF000000"/>
        <rFont val="Arial"/>
        <family val="2"/>
      </rPr>
      <t xml:space="preserve">Extract </t>
    </r>
    <r>
      <rPr>
        <sz val="9"/>
        <color rgb="FF000000"/>
        <rFont val="Noto Sans CJK SC"/>
        <family val="2"/>
      </rPr>
      <t xml:space="preserve">즉시 </t>
    </r>
    <r>
      <rPr>
        <sz val="9"/>
        <color rgb="FF000000"/>
        <rFont val="Arial"/>
        <family val="2"/>
      </rPr>
      <t xml:space="preserve">ABEND → </t>
    </r>
    <r>
      <rPr>
        <sz val="9"/>
        <color rgb="FF000000"/>
        <rFont val="Noto Sans CJK SC"/>
        <family val="2"/>
      </rPr>
      <t>갱신 절차 수립</t>
    </r>
  </si>
  <si>
    <r>
      <rPr>
        <b/>
        <sz val="10"/>
        <color rgb="FF000000"/>
        <rFont val="Arial"/>
        <family val="2"/>
      </rPr>
      <t xml:space="preserve">8. LOB </t>
    </r>
    <r>
      <rPr>
        <b/>
        <sz val="10"/>
        <color rgb="FF000000"/>
        <rFont val="Noto Sans CJK SC"/>
        <family val="2"/>
      </rPr>
      <t xml:space="preserve">컬럼 </t>
    </r>
    <r>
      <rPr>
        <b/>
        <sz val="10"/>
        <color rgb="FF000000"/>
        <rFont val="Arial"/>
        <family val="2"/>
      </rPr>
      <t xml:space="preserve">Trail File </t>
    </r>
    <r>
      <rPr>
        <b/>
        <sz val="10"/>
        <color rgb="FF000000"/>
        <rFont val="Noto Sans CJK SC"/>
        <family val="2"/>
      </rPr>
      <t>용량 급증</t>
    </r>
  </si>
  <si>
    <r>
      <rPr>
        <sz val="9"/>
        <color rgb="FF000000"/>
        <rFont val="Arial"/>
        <family val="2"/>
      </rPr>
      <t xml:space="preserve">LOB </t>
    </r>
    <r>
      <rPr>
        <sz val="9"/>
        <color rgb="FF000000"/>
        <rFont val="Noto Sans CJK SC"/>
        <family val="2"/>
      </rPr>
      <t xml:space="preserve">변경 빈발 테이블 </t>
    </r>
    <r>
      <rPr>
        <sz val="9"/>
        <color rgb="FF000000"/>
        <rFont val="Arial"/>
        <family val="2"/>
      </rPr>
      <t xml:space="preserve">Trail </t>
    </r>
    <r>
      <rPr>
        <sz val="9"/>
        <color rgb="FF000000"/>
        <rFont val="Noto Sans CJK SC"/>
        <family val="2"/>
      </rPr>
      <t>크기 모니터링</t>
    </r>
  </si>
  <si>
    <r>
      <rPr>
        <b/>
        <sz val="10"/>
        <color rgb="FF000000"/>
        <rFont val="Arial"/>
        <family val="2"/>
      </rPr>
      <t xml:space="preserve">9. Constraint DISABLED </t>
    </r>
    <r>
      <rPr>
        <b/>
        <sz val="10"/>
        <color rgb="FF000000"/>
        <rFont val="Noto Sans CJK SC"/>
        <family val="2"/>
      </rPr>
      <t>상태 정기 점검</t>
    </r>
  </si>
  <si>
    <r>
      <rPr>
        <sz val="9"/>
        <color rgb="FF000000"/>
        <rFont val="Arial"/>
        <family val="2"/>
      </rPr>
      <t xml:space="preserve">FK/CHECK Disabled </t>
    </r>
    <r>
      <rPr>
        <sz val="9"/>
        <color rgb="FF000000"/>
        <rFont val="Noto Sans CJK SC"/>
        <family val="2"/>
      </rPr>
      <t>상태 방치 시 무결성 오류</t>
    </r>
  </si>
  <si>
    <r>
      <rPr>
        <b/>
        <sz val="10"/>
        <color rgb="FF000000"/>
        <rFont val="Arial"/>
        <family val="2"/>
      </rPr>
      <t xml:space="preserve">10. NLS </t>
    </r>
    <r>
      <rPr>
        <b/>
        <sz val="10"/>
        <color rgb="FF000000"/>
        <rFont val="Noto Sans CJK SC"/>
        <family val="2"/>
      </rPr>
      <t xml:space="preserve">파라미터 </t>
    </r>
    <r>
      <rPr>
        <b/>
        <sz val="10"/>
        <color rgb="FF000000"/>
        <rFont val="Arial"/>
        <family val="2"/>
      </rPr>
      <t xml:space="preserve">/ </t>
    </r>
    <r>
      <rPr>
        <b/>
        <sz val="10"/>
        <color rgb="FF000000"/>
        <rFont val="Noto Sans CJK SC"/>
        <family val="2"/>
      </rPr>
      <t>타임존 변경 금지</t>
    </r>
  </si>
  <si>
    <r>
      <rPr>
        <sz val="9"/>
        <color rgb="FF000000"/>
        <rFont val="Noto Sans CJK SC"/>
        <family val="2"/>
      </rPr>
      <t xml:space="preserve">운영 중 </t>
    </r>
    <r>
      <rPr>
        <sz val="9"/>
        <color rgb="FF000000"/>
        <rFont val="Arial"/>
        <family val="2"/>
      </rPr>
      <t xml:space="preserve">NLS_CHARACTERSET </t>
    </r>
    <r>
      <rPr>
        <sz val="9"/>
        <color rgb="FF000000"/>
        <rFont val="Noto Sans CJK SC"/>
        <family val="2"/>
      </rPr>
      <t>변경 절대 금지 정책</t>
    </r>
  </si>
  <si>
    <r>
      <rPr>
        <sz val="8"/>
        <color rgb="FF000000"/>
        <rFont val="Apple Color Emoji"/>
        <family val="2"/>
      </rPr>
      <t>⚠️</t>
    </r>
    <r>
      <rPr>
        <sz val="8"/>
        <color rgb="FF000000"/>
        <rFont val="Arial"/>
        <family val="2"/>
      </rPr>
      <t xml:space="preserve"> SE DDL </t>
    </r>
    <r>
      <rPr>
        <sz val="8"/>
        <color rgb="FF000000"/>
        <rFont val="Noto Sans CJK SC"/>
        <family val="2"/>
      </rPr>
      <t>제약</t>
    </r>
    <phoneticPr fontId="32" type="noConversion"/>
  </si>
  <si>
    <r>
      <t xml:space="preserve">rdsadmin.rdsadmin_util.set_configuration 24h </t>
    </r>
    <r>
      <rPr>
        <sz val="9"/>
        <color rgb="FF000000"/>
        <rFont val="Noto Sans CJK SC"/>
        <family val="2"/>
      </rPr>
      <t>이상 설정</t>
    </r>
    <phoneticPr fontId="3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</si>
</sst>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4">
    <font>
      <sz val="11"/>
      <color theme="1"/>
      <name val="Calibri"/>
      <family val="2"/>
      <charset val="1"/>
    </font>
    <font>
      <b/>
      <sz val="22"/>
      <color rgb="FFFFFFFF"/>
      <name val="Arial"/>
      <family val="2"/>
    </font>
    <font>
      <b/>
      <sz val="22"/>
      <color rgb="FFFFFFFF"/>
      <name val="Noto Sans CJK SC"/>
      <family val="2"/>
    </font>
    <font>
      <i/>
      <sz val="11"/>
      <color rgb="FFBDD7EE"/>
      <name val="Arial"/>
      <family val="2"/>
    </font>
    <font>
      <sz val="10"/>
      <color rgb="FFFFFFFF"/>
      <name val="Noto Sans CJK SC"/>
      <family val="2"/>
    </font>
    <font>
      <b/>
      <sz val="10"/>
      <color rgb="FFBDD7EE"/>
      <name val="Arial"/>
      <family val="2"/>
    </font>
    <font>
      <sz val="10"/>
      <color rgb="FFBDD7EE"/>
      <name val="Arial"/>
      <family val="2"/>
    </font>
    <font>
      <b/>
      <sz val="12"/>
      <color rgb="FF000000"/>
      <name val="Noto Sans CJK SC"/>
      <family val="2"/>
    </font>
    <font>
      <b/>
      <sz val="10"/>
      <color rgb="FF000000"/>
      <name val="Noto Sans CJK SC"/>
      <family val="2"/>
    </font>
    <font>
      <b/>
      <sz val="10"/>
      <color rgb="FF000000"/>
      <name val="Arial"/>
      <family val="2"/>
    </font>
    <font>
      <sz val="10"/>
      <color rgb="FF000000"/>
      <name val="Noto Sans CJK SC"/>
      <family val="2"/>
    </font>
    <font>
      <sz val="10"/>
      <color rgb="FF000000"/>
      <name val="Arial"/>
      <family val="2"/>
    </font>
    <font>
      <b/>
      <sz val="12"/>
      <color rgb="FF000000"/>
      <name val="Arial"/>
      <family val="2"/>
    </font>
    <font>
      <b/>
      <sz val="10"/>
      <color rgb="FFFFFFFF"/>
      <name val="Arial"/>
      <family val="2"/>
    </font>
    <font>
      <b/>
      <sz val="10"/>
      <color rgb="FFFFFFFF"/>
      <name val="Noto Sans CJK SC"/>
      <family val="2"/>
    </font>
    <font>
      <b/>
      <sz val="11"/>
      <color rgb="FFFFFFFF"/>
      <name val="Arial"/>
      <family val="2"/>
    </font>
    <font>
      <b/>
      <sz val="11"/>
      <color rgb="FFFFFFFF"/>
      <name val="Noto Sans CJK SC"/>
      <family val="2"/>
    </font>
    <font>
      <b/>
      <sz val="11"/>
      <color rgb="FF000000"/>
      <name val="Arial"/>
      <family val="2"/>
    </font>
    <font>
      <b/>
      <sz val="11"/>
      <color rgb="FF000000"/>
      <name val="Noto Sans CJK SC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sz val="9"/>
      <color rgb="FF000000"/>
      <name val="Noto Sans CJK SC"/>
      <family val="2"/>
    </font>
    <font>
      <b/>
      <sz val="9"/>
      <color rgb="FFFFFFFF"/>
      <name val="Noto Sans CJK SC"/>
      <family val="2"/>
    </font>
    <font>
      <sz val="9"/>
      <name val="Arial"/>
      <family val="2"/>
    </font>
    <font>
      <b/>
      <sz val="9"/>
      <color rgb="FF000000"/>
      <name val="Noto Sans CJK SC"/>
      <family val="2"/>
    </font>
    <font>
      <sz val="8"/>
      <color rgb="FF000000"/>
      <name val="Arial"/>
      <family val="2"/>
    </font>
    <font>
      <sz val="8"/>
      <color rgb="FF000000"/>
      <name val="Noto Sans CJK SC"/>
      <family val="2"/>
    </font>
    <font>
      <sz val="9"/>
      <name val="Noto Sans CJK SC"/>
      <family val="2"/>
    </font>
    <font>
      <b/>
      <sz val="18"/>
      <color rgb="FFFFFFFF"/>
      <name val="Arial"/>
      <family val="2"/>
    </font>
    <font>
      <b/>
      <sz val="18"/>
      <color rgb="FFFFFFFF"/>
      <name val="Noto Sans CJK SC"/>
      <family val="2"/>
    </font>
    <font>
      <b/>
      <sz val="12"/>
      <color rgb="FFFFFFFF"/>
      <name val="Arial"/>
      <family val="2"/>
    </font>
    <font>
      <b/>
      <sz val="12"/>
      <color rgb="FFFFFFFF"/>
      <name val="Noto Sans CJK SC"/>
      <family val="2"/>
    </font>
    <font>
      <sz val="8"/>
      <name val="나눔명조"/>
      <family val="3"/>
      <charset val="129"/>
    </font>
    <font>
      <sz val="8"/>
      <color rgb="FF000000"/>
      <name val="Apple Color Emoji"/>
      <family val="2"/>
    </font>
  </fonts>
  <fills count="20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BDD7EE"/>
        <bgColor rgb="FFD9E1F2"/>
      </patternFill>
    </fill>
    <fill>
      <patternFill patternType="solid">
        <fgColor rgb="FFD9E1F2"/>
        <bgColor rgb="FFE2EFDA"/>
      </patternFill>
    </fill>
    <fill>
      <patternFill patternType="solid">
        <fgColor rgb="FFF2F7FF"/>
        <bgColor rgb="FFE8F4FD"/>
      </patternFill>
    </fill>
    <fill>
      <patternFill patternType="solid">
        <fgColor rgb="FFFFF2CC"/>
        <bgColor rgb="FFFDECEA"/>
      </patternFill>
    </fill>
    <fill>
      <patternFill patternType="solid">
        <fgColor rgb="FFEAD1DC"/>
        <bgColor rgb="FFFFC7CE"/>
      </patternFill>
    </fill>
    <fill>
      <patternFill patternType="solid">
        <fgColor rgb="FFE2EFDA"/>
        <bgColor rgb="FFE8F4FD"/>
      </patternFill>
    </fill>
    <fill>
      <patternFill patternType="solid">
        <fgColor rgb="FFFCE4D6"/>
        <bgColor rgb="FFFDECEA"/>
      </patternFill>
    </fill>
    <fill>
      <patternFill patternType="solid">
        <fgColor rgb="FFFF0000"/>
        <bgColor rgb="FF993300"/>
      </patternFill>
    </fill>
    <fill>
      <patternFill patternType="solid">
        <fgColor rgb="FFFF9900"/>
        <bgColor rgb="FFFFCC00"/>
      </patternFill>
    </fill>
    <fill>
      <patternFill patternType="solid">
        <fgColor rgb="FF70AD47"/>
        <bgColor rgb="FF339966"/>
      </patternFill>
    </fill>
    <fill>
      <patternFill patternType="solid">
        <fgColor rgb="FFC6EFCE"/>
        <bgColor rgb="FFE2EFDA"/>
      </patternFill>
    </fill>
    <fill>
      <patternFill patternType="solid">
        <fgColor rgb="FFFFC7CE"/>
        <bgColor rgb="FFEAD1DC"/>
      </patternFill>
    </fill>
    <fill>
      <patternFill patternType="solid">
        <fgColor rgb="FFFFEB9C"/>
        <bgColor rgb="FFFFF2CC"/>
      </patternFill>
    </fill>
    <fill>
      <patternFill patternType="solid">
        <fgColor rgb="FF2E75B6"/>
        <bgColor rgb="FF0066CC"/>
      </patternFill>
    </fill>
    <fill>
      <patternFill patternType="solid">
        <fgColor rgb="FFFFFFFF"/>
        <bgColor rgb="FFF2F7FF"/>
      </patternFill>
    </fill>
    <fill>
      <patternFill patternType="solid">
        <fgColor rgb="FFFDECEA"/>
        <bgColor rgb="FFFCE4D6"/>
      </patternFill>
    </fill>
    <fill>
      <patternFill patternType="solid">
        <fgColor rgb="FFE8F4FD"/>
        <bgColor rgb="FFF2F7FF"/>
      </patternFill>
    </fill>
  </fills>
  <borders count="3">
    <border>
      <left/>
      <right/>
      <top/>
      <bottom/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91">
    <xf numFmtId="0" fontId="0" fillId="0" borderId="0" xfId="0"/>
    <xf numFmtId="0" fontId="0" fillId="2" borderId="0" xfId="0" applyFill="1"/>
    <xf numFmtId="0" fontId="5" fillId="2" borderId="0" xfId="0" applyFont="1" applyFill="1"/>
    <xf numFmtId="0" fontId="6" fillId="2" borderId="0" xfId="0" applyFont="1" applyFill="1"/>
    <xf numFmtId="0" fontId="8" fillId="4" borderId="2" xfId="0" applyFont="1" applyFill="1" applyBorder="1" applyAlignment="1">
      <alignment horizontal="left" vertical="center"/>
    </xf>
    <xf numFmtId="0" fontId="10" fillId="5" borderId="2" xfId="0" applyFont="1" applyFill="1" applyBorder="1" applyAlignment="1">
      <alignment horizontal="left" vertical="center"/>
    </xf>
    <xf numFmtId="0" fontId="8" fillId="6" borderId="2" xfId="0" applyFont="1" applyFill="1" applyBorder="1" applyAlignment="1">
      <alignment horizontal="left" vertical="center"/>
    </xf>
    <xf numFmtId="0" fontId="11" fillId="5" borderId="2" xfId="0" applyFont="1" applyFill="1" applyBorder="1" applyAlignment="1">
      <alignment horizontal="left" vertical="center"/>
    </xf>
    <xf numFmtId="0" fontId="9" fillId="7" borderId="2" xfId="0" applyFont="1" applyFill="1" applyBorder="1" applyAlignment="1">
      <alignment horizontal="left" vertical="center"/>
    </xf>
    <xf numFmtId="0" fontId="8" fillId="8" borderId="2" xfId="0" applyFont="1" applyFill="1" applyBorder="1" applyAlignment="1">
      <alignment horizontal="left" vertical="center"/>
    </xf>
    <xf numFmtId="0" fontId="8" fillId="9" borderId="2" xfId="0" applyFont="1" applyFill="1" applyBorder="1" applyAlignment="1">
      <alignment horizontal="left" vertical="center"/>
    </xf>
    <xf numFmtId="0" fontId="13" fillId="10" borderId="2" xfId="0" applyFont="1" applyFill="1" applyBorder="1" applyAlignment="1">
      <alignment horizontal="center" vertical="center"/>
    </xf>
    <xf numFmtId="0" fontId="13" fillId="11" borderId="2" xfId="0" applyFont="1" applyFill="1" applyBorder="1" applyAlignment="1">
      <alignment horizontal="center" vertical="center"/>
    </xf>
    <xf numFmtId="0" fontId="13" fillId="12" borderId="2" xfId="0" applyFont="1" applyFill="1" applyBorder="1" applyAlignment="1">
      <alignment horizontal="center" vertical="center"/>
    </xf>
    <xf numFmtId="0" fontId="9" fillId="13" borderId="2" xfId="0" applyFont="1" applyFill="1" applyBorder="1" applyAlignment="1">
      <alignment horizontal="center" vertical="center"/>
    </xf>
    <xf numFmtId="0" fontId="9" fillId="14" borderId="2" xfId="0" applyFont="1" applyFill="1" applyBorder="1" applyAlignment="1">
      <alignment horizontal="center" vertical="center"/>
    </xf>
    <xf numFmtId="0" fontId="9" fillId="15" borderId="2" xfId="0" applyFont="1" applyFill="1" applyBorder="1" applyAlignment="1">
      <alignment horizontal="center" vertical="center"/>
    </xf>
    <xf numFmtId="0" fontId="13" fillId="16" borderId="2" xfId="0" applyFont="1" applyFill="1" applyBorder="1" applyAlignment="1">
      <alignment horizontal="center" vertical="center"/>
    </xf>
    <xf numFmtId="0" fontId="9" fillId="5" borderId="2" xfId="0" applyFont="1" applyFill="1" applyBorder="1" applyAlignment="1">
      <alignment horizontal="left" vertical="center"/>
    </xf>
    <xf numFmtId="0" fontId="15" fillId="2" borderId="2" xfId="0" applyFont="1" applyFill="1" applyBorder="1" applyAlignment="1">
      <alignment horizontal="center" vertical="center"/>
    </xf>
    <xf numFmtId="0" fontId="16" fillId="2" borderId="2" xfId="0" applyFont="1" applyFill="1" applyBorder="1" applyAlignment="1">
      <alignment horizontal="center" vertical="center"/>
    </xf>
    <xf numFmtId="0" fontId="11" fillId="17" borderId="2" xfId="0" applyFont="1" applyFill="1" applyBorder="1" applyAlignment="1">
      <alignment horizontal="center" vertical="center"/>
    </xf>
    <xf numFmtId="0" fontId="19" fillId="8" borderId="2" xfId="0" applyFont="1" applyFill="1" applyBorder="1" applyAlignment="1">
      <alignment horizontal="center" vertical="center"/>
    </xf>
    <xf numFmtId="0" fontId="20" fillId="17" borderId="2" xfId="0" applyFont="1" applyFill="1" applyBorder="1" applyAlignment="1">
      <alignment horizontal="left" vertical="center" wrapText="1"/>
    </xf>
    <xf numFmtId="0" fontId="21" fillId="17" borderId="2" xfId="0" applyFont="1" applyFill="1" applyBorder="1" applyAlignment="1">
      <alignment horizontal="left" vertical="center" wrapText="1"/>
    </xf>
    <xf numFmtId="0" fontId="22" fillId="10" borderId="2" xfId="0" applyFont="1" applyFill="1" applyBorder="1" applyAlignment="1">
      <alignment horizontal="center" vertical="center"/>
    </xf>
    <xf numFmtId="0" fontId="20" fillId="18" borderId="2" xfId="0" applyFont="1" applyFill="1" applyBorder="1" applyAlignment="1">
      <alignment horizontal="center" vertical="center"/>
    </xf>
    <xf numFmtId="0" fontId="20" fillId="17" borderId="2" xfId="0" applyFont="1" applyFill="1" applyBorder="1" applyAlignment="1">
      <alignment horizontal="center" vertical="center"/>
    </xf>
    <xf numFmtId="0" fontId="23" fillId="0" borderId="2" xfId="0" applyFont="1" applyBorder="1" applyAlignment="1">
      <alignment horizontal="center" vertical="center"/>
    </xf>
    <xf numFmtId="0" fontId="11" fillId="5" borderId="2" xfId="0" applyFont="1" applyFill="1" applyBorder="1" applyAlignment="1">
      <alignment horizontal="center" vertical="center"/>
    </xf>
    <xf numFmtId="0" fontId="20" fillId="5" borderId="2" xfId="0" applyFont="1" applyFill="1" applyBorder="1" applyAlignment="1">
      <alignment horizontal="left" vertical="center" wrapText="1"/>
    </xf>
    <xf numFmtId="0" fontId="20" fillId="5" borderId="2" xfId="0" applyFont="1" applyFill="1" applyBorder="1" applyAlignment="1">
      <alignment horizontal="center" vertical="center"/>
    </xf>
    <xf numFmtId="0" fontId="22" fillId="11" borderId="2" xfId="0" applyFont="1" applyFill="1" applyBorder="1" applyAlignment="1">
      <alignment horizontal="center" vertical="center"/>
    </xf>
    <xf numFmtId="0" fontId="20" fillId="19" borderId="2" xfId="0" applyFont="1" applyFill="1" applyBorder="1" applyAlignment="1">
      <alignment horizontal="center" vertical="center"/>
    </xf>
    <xf numFmtId="0" fontId="21" fillId="5" borderId="2" xfId="0" applyFont="1" applyFill="1" applyBorder="1" applyAlignment="1">
      <alignment horizontal="left" vertical="center" wrapText="1"/>
    </xf>
    <xf numFmtId="0" fontId="19" fillId="7" borderId="2" xfId="0" applyFont="1" applyFill="1" applyBorder="1" applyAlignment="1">
      <alignment horizontal="center" vertical="center"/>
    </xf>
    <xf numFmtId="0" fontId="22" fillId="12" borderId="2" xfId="0" applyFont="1" applyFill="1" applyBorder="1" applyAlignment="1">
      <alignment horizontal="center" vertical="center"/>
    </xf>
    <xf numFmtId="0" fontId="24" fillId="9" borderId="2" xfId="0" applyFont="1" applyFill="1" applyBorder="1" applyAlignment="1">
      <alignment horizontal="center" vertical="center"/>
    </xf>
    <xf numFmtId="0" fontId="19" fillId="4" borderId="2" xfId="0" applyFont="1" applyFill="1" applyBorder="1" applyAlignment="1">
      <alignment horizontal="center" vertical="center" wrapText="1"/>
    </xf>
    <xf numFmtId="0" fontId="25" fillId="17" borderId="2" xfId="0" applyFont="1" applyFill="1" applyBorder="1" applyAlignment="1">
      <alignment horizontal="left" vertical="center" wrapText="1"/>
    </xf>
    <xf numFmtId="0" fontId="25" fillId="5" borderId="2" xfId="0" applyFont="1" applyFill="1" applyBorder="1" applyAlignment="1">
      <alignment horizontal="left" vertical="center" wrapText="1"/>
    </xf>
    <xf numFmtId="0" fontId="25" fillId="18" borderId="2" xfId="0" applyFont="1" applyFill="1" applyBorder="1" applyAlignment="1">
      <alignment horizontal="left" vertical="center" wrapText="1"/>
    </xf>
    <xf numFmtId="0" fontId="19" fillId="6" borderId="2" xfId="0" applyFont="1" applyFill="1" applyBorder="1" applyAlignment="1">
      <alignment horizontal="center" vertical="center" wrapText="1"/>
    </xf>
    <xf numFmtId="0" fontId="19" fillId="8" borderId="2" xfId="0" applyFont="1" applyFill="1" applyBorder="1" applyAlignment="1">
      <alignment horizontal="center" vertical="center" wrapText="1"/>
    </xf>
    <xf numFmtId="0" fontId="19" fillId="9" borderId="2" xfId="0" applyFont="1" applyFill="1" applyBorder="1" applyAlignment="1">
      <alignment horizontal="center" vertical="center" wrapText="1"/>
    </xf>
    <xf numFmtId="0" fontId="19" fillId="7" borderId="2" xfId="0" applyFont="1" applyFill="1" applyBorder="1" applyAlignment="1">
      <alignment horizontal="center" vertical="center" wrapText="1"/>
    </xf>
    <xf numFmtId="0" fontId="19" fillId="5" borderId="2" xfId="0" applyFont="1" applyFill="1" applyBorder="1" applyAlignment="1">
      <alignment horizontal="center" vertical="center" wrapText="1"/>
    </xf>
    <xf numFmtId="0" fontId="24" fillId="6" borderId="2" xfId="0" applyFont="1" applyFill="1" applyBorder="1" applyAlignment="1">
      <alignment horizontal="center" vertical="center" wrapText="1"/>
    </xf>
    <xf numFmtId="0" fontId="24" fillId="4" borderId="2" xfId="0" applyFont="1" applyFill="1" applyBorder="1" applyAlignment="1">
      <alignment horizontal="center" vertical="center" wrapText="1"/>
    </xf>
    <xf numFmtId="0" fontId="24" fillId="9" borderId="2" xfId="0" applyFont="1" applyFill="1" applyBorder="1" applyAlignment="1">
      <alignment horizontal="center" vertical="center" wrapText="1"/>
    </xf>
    <xf numFmtId="0" fontId="19" fillId="6" borderId="2" xfId="0" applyFont="1" applyFill="1" applyBorder="1" applyAlignment="1">
      <alignment horizontal="center" vertical="center"/>
    </xf>
    <xf numFmtId="0" fontId="25" fillId="19" borderId="2" xfId="0" applyFont="1" applyFill="1" applyBorder="1" applyAlignment="1">
      <alignment horizontal="left" vertical="center" wrapText="1"/>
    </xf>
    <xf numFmtId="0" fontId="19" fillId="9" borderId="2" xfId="0" applyFont="1" applyFill="1" applyBorder="1" applyAlignment="1">
      <alignment horizontal="center" vertical="center"/>
    </xf>
    <xf numFmtId="0" fontId="19" fillId="18" borderId="2" xfId="0" applyFont="1" applyFill="1" applyBorder="1" applyAlignment="1">
      <alignment horizontal="center" vertical="center"/>
    </xf>
    <xf numFmtId="0" fontId="19" fillId="17" borderId="2" xfId="0" applyFont="1" applyFill="1" applyBorder="1" applyAlignment="1">
      <alignment horizontal="left" vertical="center" wrapText="1"/>
    </xf>
    <xf numFmtId="0" fontId="27" fillId="0" borderId="2" xfId="0" applyFont="1" applyBorder="1" applyAlignment="1">
      <alignment horizontal="center" vertical="center"/>
    </xf>
    <xf numFmtId="0" fontId="19" fillId="5" borderId="2" xfId="0" applyFont="1" applyFill="1" applyBorder="1" applyAlignment="1">
      <alignment horizontal="left" vertical="center" wrapText="1"/>
    </xf>
    <xf numFmtId="0" fontId="19" fillId="19" borderId="2" xfId="0" applyFont="1" applyFill="1" applyBorder="1" applyAlignment="1">
      <alignment horizontal="center" vertical="center"/>
    </xf>
    <xf numFmtId="0" fontId="24" fillId="5" borderId="2" xfId="0" applyFont="1" applyFill="1" applyBorder="1" applyAlignment="1">
      <alignment horizontal="left" vertical="center" wrapText="1"/>
    </xf>
    <xf numFmtId="0" fontId="24" fillId="7" borderId="2" xfId="0" applyFont="1" applyFill="1" applyBorder="1" applyAlignment="1">
      <alignment horizontal="center" vertical="center"/>
    </xf>
    <xf numFmtId="0" fontId="16" fillId="16" borderId="2" xfId="0" applyFont="1" applyFill="1" applyBorder="1" applyAlignment="1">
      <alignment horizontal="center" vertical="center"/>
    </xf>
    <xf numFmtId="0" fontId="15" fillId="16" borderId="2" xfId="0" applyFont="1" applyFill="1" applyBorder="1" applyAlignment="1">
      <alignment horizontal="center" vertical="center"/>
    </xf>
    <xf numFmtId="0" fontId="9" fillId="17" borderId="2" xfId="0" applyFont="1" applyFill="1" applyBorder="1" applyAlignment="1">
      <alignment horizontal="left" vertical="center"/>
    </xf>
    <xf numFmtId="0" fontId="11" fillId="13" borderId="2" xfId="0" applyFont="1" applyFill="1" applyBorder="1" applyAlignment="1">
      <alignment horizontal="center" vertical="center"/>
    </xf>
    <xf numFmtId="0" fontId="11" fillId="14" borderId="2" xfId="0" applyFont="1" applyFill="1" applyBorder="1" applyAlignment="1">
      <alignment horizontal="center" vertical="center"/>
    </xf>
    <xf numFmtId="0" fontId="11" fillId="15" borderId="2" xfId="0" applyFont="1" applyFill="1" applyBorder="1" applyAlignment="1">
      <alignment horizontal="center" vertical="center"/>
    </xf>
    <xf numFmtId="0" fontId="9" fillId="17" borderId="2" xfId="0" applyFont="1" applyFill="1" applyBorder="1" applyAlignment="1">
      <alignment horizontal="center" vertical="center"/>
    </xf>
    <xf numFmtId="0" fontId="8" fillId="5" borderId="2" xfId="0" applyFont="1" applyFill="1" applyBorder="1" applyAlignment="1">
      <alignment horizontal="left" vertical="center"/>
    </xf>
    <xf numFmtId="0" fontId="9" fillId="5" borderId="2" xfId="0" applyFont="1" applyFill="1" applyBorder="1" applyAlignment="1">
      <alignment horizontal="center" vertical="center"/>
    </xf>
    <xf numFmtId="0" fontId="8" fillId="17" borderId="2" xfId="0" applyFont="1" applyFill="1" applyBorder="1" applyAlignment="1">
      <alignment horizontal="left" vertical="center"/>
    </xf>
    <xf numFmtId="0" fontId="18" fillId="3" borderId="2" xfId="0" applyFont="1" applyFill="1" applyBorder="1" applyAlignment="1">
      <alignment horizontal="center" vertical="center"/>
    </xf>
    <xf numFmtId="0" fontId="17" fillId="13" borderId="2" xfId="0" applyFont="1" applyFill="1" applyBorder="1" applyAlignment="1">
      <alignment horizontal="center" vertical="center"/>
    </xf>
    <xf numFmtId="0" fontId="17" fillId="14" borderId="2" xfId="0" applyFont="1" applyFill="1" applyBorder="1" applyAlignment="1">
      <alignment horizontal="center" vertical="center"/>
    </xf>
    <xf numFmtId="0" fontId="17" fillId="15" borderId="2" xfId="0" applyFont="1" applyFill="1" applyBorder="1" applyAlignment="1">
      <alignment horizontal="center" vertical="center"/>
    </xf>
    <xf numFmtId="0" fontId="20" fillId="17" borderId="1" xfId="0" applyFont="1" applyFill="1" applyBorder="1" applyAlignment="1">
      <alignment horizontal="left" vertical="center" wrapText="1"/>
    </xf>
    <xf numFmtId="0" fontId="21" fillId="5" borderId="1" xfId="0" applyFont="1" applyFill="1" applyBorder="1" applyAlignment="1">
      <alignment horizontal="left" vertical="center" wrapText="1"/>
    </xf>
    <xf numFmtId="0" fontId="20" fillId="5" borderId="1" xfId="0" applyFont="1" applyFill="1" applyBorder="1" applyAlignment="1">
      <alignment horizontal="left" vertical="center" wrapText="1"/>
    </xf>
    <xf numFmtId="0" fontId="21" fillId="17" borderId="1" xfId="0" applyFont="1" applyFill="1" applyBorder="1" applyAlignment="1">
      <alignment horizontal="left" vertical="center" wrapText="1"/>
    </xf>
    <xf numFmtId="0" fontId="28" fillId="2" borderId="0" xfId="0" applyFont="1" applyFill="1" applyAlignment="1">
      <alignment horizontal="center" vertical="center"/>
    </xf>
    <xf numFmtId="0" fontId="30" fillId="16" borderId="1" xfId="0" applyFont="1" applyFill="1" applyBorder="1" applyAlignment="1">
      <alignment horizontal="center" vertical="center"/>
    </xf>
    <xf numFmtId="0" fontId="10" fillId="17" borderId="2" xfId="0" applyFont="1" applyFill="1" applyBorder="1" applyAlignment="1">
      <alignment horizontal="left" vertical="center"/>
    </xf>
    <xf numFmtId="0" fontId="11" fillId="5" borderId="1" xfId="0" applyFont="1" applyFill="1" applyBorder="1" applyAlignment="1">
      <alignment horizontal="left" vertical="center"/>
    </xf>
    <xf numFmtId="0" fontId="7" fillId="3" borderId="1" xfId="0" applyFont="1" applyFill="1" applyBorder="1" applyAlignment="1">
      <alignment horizontal="center" vertical="center"/>
    </xf>
    <xf numFmtId="0" fontId="11" fillId="17" borderId="2" xfId="0" applyFont="1" applyFill="1" applyBorder="1" applyAlignment="1">
      <alignment horizontal="left" vertical="center"/>
    </xf>
    <xf numFmtId="0" fontId="1" fillId="2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left" vertical="center"/>
    </xf>
    <xf numFmtId="0" fontId="17" fillId="7" borderId="1" xfId="0" applyFont="1" applyFill="1" applyBorder="1" applyAlignment="1">
      <alignment horizontal="left" vertical="center"/>
    </xf>
    <xf numFmtId="0" fontId="18" fillId="4" borderId="1" xfId="0" applyFont="1" applyFill="1" applyBorder="1" applyAlignment="1">
      <alignment horizontal="left" vertical="center"/>
    </xf>
    <xf numFmtId="0" fontId="18" fillId="6" borderId="1" xfId="0" applyFont="1" applyFill="1" applyBorder="1" applyAlignment="1">
      <alignment horizontal="left" vertical="center"/>
    </xf>
    <xf numFmtId="0" fontId="18" fillId="9" borderId="1" xfId="0" applyFont="1" applyFill="1" applyBorder="1" applyAlignment="1">
      <alignment horizontal="left" vertical="center"/>
    </xf>
  </cellXfs>
  <cellStyles count="1">
    <cellStyle name="표준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DECEA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E8F4FD"/>
      <rgbColor rgb="FF660066"/>
      <rgbColor rgb="FFFF8080"/>
      <rgbColor rgb="FF0066CC"/>
      <rgbColor rgb="FFBDD7EE"/>
      <rgbColor rgb="FF000080"/>
      <rgbColor rgb="FFFF00FF"/>
      <rgbColor rgb="FFF2F7FF"/>
      <rgbColor rgb="FF00FFFF"/>
      <rgbColor rgb="FF800080"/>
      <rgbColor rgb="FF800000"/>
      <rgbColor rgb="FF008080"/>
      <rgbColor rgb="FF0000FF"/>
      <rgbColor rgb="FF00CCFF"/>
      <rgbColor rgb="FFE2EFDA"/>
      <rgbColor rgb="FFC6EFCE"/>
      <rgbColor rgb="FFFFEB9C"/>
      <rgbColor rgb="FFD9E1F2"/>
      <rgbColor rgb="FFEAD1DC"/>
      <rgbColor rgb="FFFCE4D6"/>
      <rgbColor rgb="FFFFC7CE"/>
      <rgbColor rgb="FF2E75B6"/>
      <rgbColor rgb="FF33CCCC"/>
      <rgbColor rgb="FF99CC00"/>
      <rgbColor rgb="FFFFCC00"/>
      <rgbColor rgb="FFFF9900"/>
      <rgbColor rgb="FFFF6600"/>
      <rgbColor rgb="FF666699"/>
      <rgbColor rgb="FF70AD47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6"/>
  <sheetViews>
    <sheetView showGridLines="0" topLeftCell="A29" zoomScale="130" zoomScaleNormal="130" workbookViewId="0"/>
  </sheetViews>
  <sheetFormatPr baseColWidth="10" defaultColWidth="8.6640625" defaultRowHeight="15"/>
  <cols>
    <col min="1" max="1" width="4" customWidth="1"/>
    <col min="2" max="2" width="40" customWidth="1"/>
    <col min="3" max="3" width="35" customWidth="1"/>
    <col min="4" max="5" width="20" customWidth="1"/>
  </cols>
  <sheetData>
    <row r="1" spans="1:5">
      <c r="A1" s="1"/>
      <c r="B1" s="1"/>
      <c r="C1" s="1"/>
      <c r="D1" s="1"/>
      <c r="E1" s="1"/>
    </row>
    <row r="2" spans="1:5" ht="24.75" customHeight="1">
      <c r="A2" s="1"/>
      <c r="B2" s="84" t="s">
        <v>0</v>
      </c>
      <c r="C2" s="84"/>
      <c r="D2" s="84"/>
      <c r="E2" s="84"/>
    </row>
    <row r="3" spans="1:5" ht="24.75" customHeight="1">
      <c r="A3" s="1"/>
      <c r="B3" s="84"/>
      <c r="C3" s="84"/>
      <c r="D3" s="84"/>
      <c r="E3" s="84"/>
    </row>
    <row r="4" spans="1:5" ht="24.75" customHeight="1">
      <c r="A4" s="1"/>
      <c r="B4" s="84"/>
      <c r="C4" s="84"/>
      <c r="D4" s="84"/>
      <c r="E4" s="84"/>
    </row>
    <row r="5" spans="1:5">
      <c r="A5" s="1"/>
      <c r="B5" s="85" t="s">
        <v>1</v>
      </c>
      <c r="C5" s="85"/>
      <c r="D5" s="85"/>
      <c r="E5" s="85"/>
    </row>
    <row r="6" spans="1:5">
      <c r="A6" s="1"/>
      <c r="B6" s="86" t="s">
        <v>2</v>
      </c>
      <c r="C6" s="86"/>
      <c r="D6" s="2" t="s">
        <v>3</v>
      </c>
      <c r="E6" s="3" t="s">
        <v>4</v>
      </c>
    </row>
    <row r="7" spans="1:5">
      <c r="A7" s="1"/>
      <c r="B7" s="1"/>
      <c r="C7" s="1"/>
      <c r="D7" s="1"/>
      <c r="E7" s="1"/>
    </row>
    <row r="8" spans="1:5">
      <c r="A8" s="1"/>
      <c r="B8" s="1"/>
      <c r="C8" s="1"/>
      <c r="D8" s="1"/>
      <c r="E8" s="1"/>
    </row>
    <row r="9" spans="1:5">
      <c r="A9" s="1"/>
      <c r="B9" s="1"/>
      <c r="C9" s="1"/>
      <c r="D9" s="1"/>
      <c r="E9" s="1"/>
    </row>
    <row r="11" spans="1:5" ht="21.75" customHeight="1">
      <c r="B11" s="82" t="s">
        <v>5</v>
      </c>
      <c r="C11" s="82"/>
      <c r="D11" s="82"/>
      <c r="E11" s="82"/>
    </row>
    <row r="13" spans="1:5" ht="19.5" customHeight="1">
      <c r="B13" s="4" t="s">
        <v>6</v>
      </c>
      <c r="C13" s="5" t="s">
        <v>7</v>
      </c>
      <c r="D13" s="81"/>
      <c r="E13" s="81"/>
    </row>
    <row r="14" spans="1:5" ht="19.5" customHeight="1">
      <c r="B14" s="6" t="s">
        <v>8</v>
      </c>
      <c r="C14" s="7" t="s">
        <v>9</v>
      </c>
      <c r="D14" s="81"/>
      <c r="E14" s="81"/>
    </row>
    <row r="15" spans="1:5" ht="19.5" customHeight="1">
      <c r="B15" s="8" t="s">
        <v>10</v>
      </c>
      <c r="C15" s="7" t="s">
        <v>11</v>
      </c>
      <c r="D15" s="81"/>
      <c r="E15" s="81"/>
    </row>
    <row r="16" spans="1:5" ht="19.5" customHeight="1">
      <c r="B16" s="9" t="s">
        <v>12</v>
      </c>
      <c r="C16" s="5" t="s">
        <v>13</v>
      </c>
      <c r="D16" s="81"/>
      <c r="E16" s="81"/>
    </row>
    <row r="17" spans="2:5" ht="19.5" customHeight="1">
      <c r="B17" s="10" t="s">
        <v>14</v>
      </c>
      <c r="C17" s="7" t="s">
        <v>15</v>
      </c>
      <c r="D17" s="81"/>
      <c r="E17" s="81"/>
    </row>
    <row r="19" spans="2:5" ht="21.75" customHeight="1">
      <c r="B19" s="82" t="s">
        <v>16</v>
      </c>
      <c r="C19" s="82"/>
      <c r="D19" s="82"/>
      <c r="E19" s="82"/>
    </row>
    <row r="21" spans="2:5" ht="19.5" customHeight="1">
      <c r="B21" s="11" t="s">
        <v>17</v>
      </c>
      <c r="C21" s="5" t="s">
        <v>18</v>
      </c>
      <c r="D21" s="81"/>
      <c r="E21" s="81"/>
    </row>
    <row r="22" spans="2:5" ht="19.5" customHeight="1">
      <c r="B22" s="12" t="s">
        <v>19</v>
      </c>
      <c r="C22" s="5" t="s">
        <v>20</v>
      </c>
      <c r="D22" s="81"/>
      <c r="E22" s="81"/>
    </row>
    <row r="23" spans="2:5" ht="19.5" customHeight="1">
      <c r="B23" s="13" t="s">
        <v>21</v>
      </c>
      <c r="C23" s="5" t="s">
        <v>22</v>
      </c>
      <c r="D23" s="81"/>
      <c r="E23" s="81"/>
    </row>
    <row r="24" spans="2:5" ht="19.5" customHeight="1">
      <c r="B24" s="14" t="s">
        <v>23</v>
      </c>
      <c r="C24" s="5" t="s">
        <v>24</v>
      </c>
      <c r="D24" s="81"/>
      <c r="E24" s="81"/>
    </row>
    <row r="25" spans="2:5" ht="19.5" customHeight="1">
      <c r="B25" s="15" t="s">
        <v>25</v>
      </c>
      <c r="C25" s="5" t="s">
        <v>26</v>
      </c>
      <c r="D25" s="81"/>
      <c r="E25" s="81"/>
    </row>
    <row r="26" spans="2:5" ht="19.5" customHeight="1">
      <c r="B26" s="16" t="s">
        <v>27</v>
      </c>
      <c r="C26" s="5" t="s">
        <v>28</v>
      </c>
      <c r="D26" s="81"/>
      <c r="E26" s="81"/>
    </row>
    <row r="29" spans="2:5" ht="21.75" customHeight="1">
      <c r="B29" s="82" t="s">
        <v>29</v>
      </c>
      <c r="C29" s="82"/>
      <c r="D29" s="82"/>
      <c r="E29" s="82"/>
    </row>
    <row r="31" spans="2:5" ht="19.5" customHeight="1">
      <c r="B31" s="17" t="s">
        <v>30</v>
      </c>
      <c r="C31" s="18" t="s">
        <v>31</v>
      </c>
      <c r="D31" s="83" t="s">
        <v>32</v>
      </c>
      <c r="E31" s="83"/>
    </row>
    <row r="32" spans="2:5" ht="19.5" customHeight="1">
      <c r="B32" s="17" t="s">
        <v>33</v>
      </c>
      <c r="C32" s="18" t="s">
        <v>34</v>
      </c>
      <c r="D32" s="80" t="s">
        <v>35</v>
      </c>
      <c r="E32" s="80"/>
    </row>
    <row r="33" spans="2:5" ht="19.5" customHeight="1">
      <c r="B33" s="17" t="s">
        <v>36</v>
      </c>
      <c r="C33" s="18" t="s">
        <v>37</v>
      </c>
      <c r="D33" s="80" t="s">
        <v>38</v>
      </c>
      <c r="E33" s="80"/>
    </row>
    <row r="34" spans="2:5" ht="19.5" customHeight="1">
      <c r="B34" s="17" t="s">
        <v>39</v>
      </c>
      <c r="C34" s="18" t="s">
        <v>40</v>
      </c>
      <c r="D34" s="80" t="s">
        <v>41</v>
      </c>
      <c r="E34" s="80"/>
    </row>
    <row r="35" spans="2:5" ht="19.5" customHeight="1">
      <c r="B35" s="17" t="s">
        <v>42</v>
      </c>
      <c r="C35" s="18" t="s">
        <v>43</v>
      </c>
      <c r="D35" s="80" t="s">
        <v>44</v>
      </c>
      <c r="E35" s="80"/>
    </row>
    <row r="36" spans="2:5" ht="19.5" customHeight="1">
      <c r="B36" s="17" t="s">
        <v>45</v>
      </c>
      <c r="C36" s="18" t="s">
        <v>46</v>
      </c>
      <c r="D36" s="80" t="s">
        <v>47</v>
      </c>
      <c r="E36" s="80"/>
    </row>
  </sheetData>
  <mergeCells count="23">
    <mergeCell ref="B2:E4"/>
    <mergeCell ref="B5:E5"/>
    <mergeCell ref="B6:C6"/>
    <mergeCell ref="B11:E11"/>
    <mergeCell ref="D13:E13"/>
    <mergeCell ref="D14:E14"/>
    <mergeCell ref="D15:E15"/>
    <mergeCell ref="D16:E16"/>
    <mergeCell ref="D17:E17"/>
    <mergeCell ref="B19:E19"/>
    <mergeCell ref="D21:E21"/>
    <mergeCell ref="D22:E22"/>
    <mergeCell ref="D23:E23"/>
    <mergeCell ref="D24:E24"/>
    <mergeCell ref="D25:E25"/>
    <mergeCell ref="D34:E34"/>
    <mergeCell ref="D35:E35"/>
    <mergeCell ref="D36:E36"/>
    <mergeCell ref="D26:E26"/>
    <mergeCell ref="B29:E29"/>
    <mergeCell ref="D31:E31"/>
    <mergeCell ref="D32:E32"/>
    <mergeCell ref="D33:E33"/>
  </mergeCells>
  <phoneticPr fontId="32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30"/>
  <sheetViews>
    <sheetView showGridLines="0" tabSelected="1" topLeftCell="C6" zoomScale="250" zoomScaleNormal="250" workbookViewId="0">
      <selection activeCell="C7" sqref="C7"/>
    </sheetView>
  </sheetViews>
  <sheetFormatPr baseColWidth="10" defaultColWidth="8.6640625" defaultRowHeight="15"/>
  <cols>
    <col min="1" max="1" width="4" customWidth="1"/>
    <col min="2" max="2" width="18" customWidth="1"/>
    <col min="3" max="3" width="38" customWidth="1"/>
    <col min="4" max="4" width="50" customWidth="1"/>
    <col min="5" max="5" width="8" customWidth="1"/>
    <col min="6" max="7" width="7" customWidth="1"/>
    <col min="8" max="8" width="8" customWidth="1"/>
    <col min="9" max="9" width="25" customWidth="1"/>
  </cols>
  <sheetData>
    <row r="1" spans="1:9" ht="31.5" customHeight="1">
      <c r="A1" s="19" t="s">
        <v>48</v>
      </c>
      <c r="B1" s="20" t="s">
        <v>49</v>
      </c>
      <c r="C1" s="20" t="s">
        <v>50</v>
      </c>
      <c r="D1" s="20" t="s">
        <v>51</v>
      </c>
      <c r="E1" s="20" t="s">
        <v>52</v>
      </c>
      <c r="F1" s="19" t="s">
        <v>53</v>
      </c>
      <c r="G1" s="19" t="s">
        <v>54</v>
      </c>
      <c r="H1" s="20" t="s">
        <v>55</v>
      </c>
      <c r="I1" s="20" t="s">
        <v>56</v>
      </c>
    </row>
    <row r="2" spans="1:9">
      <c r="A2" s="87" t="s">
        <v>57</v>
      </c>
      <c r="B2" s="87"/>
      <c r="C2" s="87"/>
      <c r="D2" s="87"/>
      <c r="E2" s="87"/>
      <c r="F2" s="87"/>
      <c r="G2" s="87"/>
      <c r="H2" s="87"/>
      <c r="I2" s="87"/>
    </row>
    <row r="3" spans="1:9" ht="21.75" customHeight="1">
      <c r="A3" s="21">
        <v>1</v>
      </c>
      <c r="B3" s="22" t="s">
        <v>58</v>
      </c>
      <c r="C3" s="23" t="s">
        <v>59</v>
      </c>
      <c r="D3" s="24" t="s">
        <v>60</v>
      </c>
      <c r="E3" s="25" t="s">
        <v>61</v>
      </c>
      <c r="F3" s="26" t="s">
        <v>62</v>
      </c>
      <c r="G3" s="27"/>
      <c r="H3" s="28" t="s">
        <v>63</v>
      </c>
      <c r="I3" s="23"/>
    </row>
    <row r="4" spans="1:9" ht="21.75" customHeight="1">
      <c r="A4" s="29">
        <v>2</v>
      </c>
      <c r="B4" s="22" t="s">
        <v>58</v>
      </c>
      <c r="C4" s="30" t="s">
        <v>64</v>
      </c>
      <c r="D4" s="30" t="s">
        <v>65</v>
      </c>
      <c r="E4" s="25" t="s">
        <v>61</v>
      </c>
      <c r="F4" s="31"/>
      <c r="G4" s="31"/>
      <c r="H4" s="28" t="s">
        <v>63</v>
      </c>
      <c r="I4" s="30"/>
    </row>
    <row r="5" spans="1:9" ht="21.75" customHeight="1">
      <c r="A5" s="21">
        <v>3</v>
      </c>
      <c r="B5" s="22" t="s">
        <v>58</v>
      </c>
      <c r="C5" s="23" t="s">
        <v>66</v>
      </c>
      <c r="D5" s="23" t="s">
        <v>67</v>
      </c>
      <c r="E5" s="25" t="s">
        <v>61</v>
      </c>
      <c r="F5" s="26" t="s">
        <v>62</v>
      </c>
      <c r="G5" s="27"/>
      <c r="H5" s="28" t="s">
        <v>63</v>
      </c>
      <c r="I5" s="23"/>
    </row>
    <row r="6" spans="1:9" ht="21.75" customHeight="1">
      <c r="A6" s="29">
        <v>4</v>
      </c>
      <c r="B6" s="22" t="s">
        <v>58</v>
      </c>
      <c r="C6" s="30" t="s">
        <v>68</v>
      </c>
      <c r="D6" s="30" t="s">
        <v>69</v>
      </c>
      <c r="E6" s="25" t="s">
        <v>61</v>
      </c>
      <c r="F6" s="26" t="s">
        <v>62</v>
      </c>
      <c r="G6" s="31"/>
      <c r="H6" s="28" t="s">
        <v>63</v>
      </c>
      <c r="I6" s="30"/>
    </row>
    <row r="7" spans="1:9" ht="21.75" customHeight="1">
      <c r="A7" s="21">
        <v>5</v>
      </c>
      <c r="B7" s="22" t="s">
        <v>58</v>
      </c>
      <c r="C7" s="23" t="s">
        <v>70</v>
      </c>
      <c r="D7" s="24" t="s">
        <v>71</v>
      </c>
      <c r="E7" s="32" t="s">
        <v>72</v>
      </c>
      <c r="F7" s="27"/>
      <c r="G7" s="27"/>
      <c r="H7" s="28" t="s">
        <v>63</v>
      </c>
      <c r="I7" s="23"/>
    </row>
    <row r="8" spans="1:9" ht="21.75" customHeight="1">
      <c r="A8" s="29">
        <v>6</v>
      </c>
      <c r="B8" s="22" t="s">
        <v>58</v>
      </c>
      <c r="C8" s="30" t="s">
        <v>73</v>
      </c>
      <c r="D8" s="30" t="s">
        <v>74</v>
      </c>
      <c r="E8" s="25" t="s">
        <v>61</v>
      </c>
      <c r="F8" s="31"/>
      <c r="G8" s="33" t="s">
        <v>75</v>
      </c>
      <c r="H8" s="28" t="s">
        <v>63</v>
      </c>
      <c r="I8" s="30"/>
    </row>
    <row r="9" spans="1:9" ht="21.75" customHeight="1">
      <c r="A9" s="21">
        <v>7</v>
      </c>
      <c r="B9" s="22" t="s">
        <v>58</v>
      </c>
      <c r="C9" s="23" t="s">
        <v>76</v>
      </c>
      <c r="D9" s="23" t="s">
        <v>428</v>
      </c>
      <c r="E9" s="25" t="s">
        <v>61</v>
      </c>
      <c r="F9" s="27"/>
      <c r="G9" s="33" t="s">
        <v>75</v>
      </c>
      <c r="H9" s="28" t="s">
        <v>63</v>
      </c>
      <c r="I9" s="23"/>
    </row>
    <row r="10" spans="1:9" ht="21.75" customHeight="1">
      <c r="A10" s="29">
        <v>8</v>
      </c>
      <c r="B10" s="22" t="s">
        <v>58</v>
      </c>
      <c r="C10" s="30" t="s">
        <v>77</v>
      </c>
      <c r="D10" s="34" t="s">
        <v>78</v>
      </c>
      <c r="E10" s="32" t="s">
        <v>72</v>
      </c>
      <c r="F10" s="31"/>
      <c r="G10" s="33" t="s">
        <v>75</v>
      </c>
      <c r="H10" s="28" t="s">
        <v>63</v>
      </c>
      <c r="I10" s="30"/>
    </row>
    <row r="11" spans="1:9" ht="21.75" customHeight="1">
      <c r="A11" s="21">
        <v>9</v>
      </c>
      <c r="B11" s="22" t="s">
        <v>58</v>
      </c>
      <c r="C11" s="24" t="s">
        <v>79</v>
      </c>
      <c r="D11" s="23">
        <v>1521</v>
      </c>
      <c r="E11" s="25" t="s">
        <v>61</v>
      </c>
      <c r="F11" s="27"/>
      <c r="G11" s="33" t="s">
        <v>75</v>
      </c>
      <c r="H11" s="28" t="s">
        <v>63</v>
      </c>
      <c r="I11" s="23"/>
    </row>
    <row r="12" spans="1:9" ht="21.75" customHeight="1">
      <c r="A12" s="29">
        <v>10</v>
      </c>
      <c r="B12" s="35" t="s">
        <v>80</v>
      </c>
      <c r="C12" s="30" t="s">
        <v>81</v>
      </c>
      <c r="D12" s="30" t="s">
        <v>82</v>
      </c>
      <c r="E12" s="25" t="s">
        <v>61</v>
      </c>
      <c r="F12" s="31"/>
      <c r="G12" s="31"/>
      <c r="H12" s="28" t="s">
        <v>63</v>
      </c>
      <c r="I12" s="30"/>
    </row>
    <row r="13" spans="1:9" ht="21.75" customHeight="1">
      <c r="A13" s="21">
        <v>11</v>
      </c>
      <c r="B13" s="35" t="s">
        <v>80</v>
      </c>
      <c r="C13" s="23" t="s">
        <v>83</v>
      </c>
      <c r="D13" s="23" t="s">
        <v>84</v>
      </c>
      <c r="E13" s="25" t="s">
        <v>61</v>
      </c>
      <c r="F13" s="27"/>
      <c r="G13" s="27"/>
      <c r="H13" s="28" t="s">
        <v>63</v>
      </c>
      <c r="I13" s="23"/>
    </row>
    <row r="14" spans="1:9" ht="21.75" customHeight="1">
      <c r="A14" s="29">
        <v>12</v>
      </c>
      <c r="B14" s="35" t="s">
        <v>80</v>
      </c>
      <c r="C14" s="30" t="s">
        <v>85</v>
      </c>
      <c r="D14" s="30" t="s">
        <v>86</v>
      </c>
      <c r="E14" s="25" t="s">
        <v>61</v>
      </c>
      <c r="F14" s="31"/>
      <c r="G14" s="33" t="s">
        <v>75</v>
      </c>
      <c r="H14" s="28" t="s">
        <v>63</v>
      </c>
      <c r="I14" s="30"/>
    </row>
    <row r="15" spans="1:9" ht="21.75" customHeight="1">
      <c r="A15" s="21">
        <v>13</v>
      </c>
      <c r="B15" s="35" t="s">
        <v>80</v>
      </c>
      <c r="C15" s="23" t="s">
        <v>87</v>
      </c>
      <c r="D15" s="23" t="s">
        <v>88</v>
      </c>
      <c r="E15" s="32" t="s">
        <v>72</v>
      </c>
      <c r="F15" s="27"/>
      <c r="G15" s="27"/>
      <c r="H15" s="28" t="s">
        <v>63</v>
      </c>
      <c r="I15" s="23"/>
    </row>
    <row r="16" spans="1:9" ht="21.75" customHeight="1">
      <c r="A16" s="29">
        <v>14</v>
      </c>
      <c r="B16" s="35" t="s">
        <v>80</v>
      </c>
      <c r="C16" s="30" t="s">
        <v>89</v>
      </c>
      <c r="D16" s="30" t="s">
        <v>90</v>
      </c>
      <c r="E16" s="25" t="s">
        <v>61</v>
      </c>
      <c r="F16" s="31"/>
      <c r="G16" s="31"/>
      <c r="H16" s="28" t="s">
        <v>63</v>
      </c>
      <c r="I16" s="30"/>
    </row>
    <row r="17" spans="1:9" ht="21.75" customHeight="1">
      <c r="A17" s="21">
        <v>15</v>
      </c>
      <c r="B17" s="35" t="s">
        <v>91</v>
      </c>
      <c r="C17" s="23" t="s">
        <v>92</v>
      </c>
      <c r="D17" s="23" t="s">
        <v>93</v>
      </c>
      <c r="E17" s="25" t="s">
        <v>61</v>
      </c>
      <c r="F17" s="27"/>
      <c r="G17" s="33" t="s">
        <v>75</v>
      </c>
      <c r="H17" s="28" t="s">
        <v>63</v>
      </c>
      <c r="I17" s="23"/>
    </row>
    <row r="18" spans="1:9" ht="21.75" customHeight="1">
      <c r="A18" s="29">
        <v>16</v>
      </c>
      <c r="B18" s="35" t="s">
        <v>91</v>
      </c>
      <c r="C18" s="30" t="s">
        <v>94</v>
      </c>
      <c r="D18" s="30" t="s">
        <v>95</v>
      </c>
      <c r="E18" s="32" t="s">
        <v>72</v>
      </c>
      <c r="F18" s="31"/>
      <c r="G18" s="33" t="s">
        <v>75</v>
      </c>
      <c r="H18" s="28" t="s">
        <v>63</v>
      </c>
      <c r="I18" s="30"/>
    </row>
    <row r="19" spans="1:9" ht="21.75" customHeight="1">
      <c r="A19" s="21">
        <v>17</v>
      </c>
      <c r="B19" s="35" t="s">
        <v>91</v>
      </c>
      <c r="C19" s="23" t="s">
        <v>96</v>
      </c>
      <c r="D19" s="23" t="s">
        <v>97</v>
      </c>
      <c r="E19" s="32" t="s">
        <v>72</v>
      </c>
      <c r="F19" s="27"/>
      <c r="G19" s="33" t="s">
        <v>75</v>
      </c>
      <c r="H19" s="28" t="s">
        <v>63</v>
      </c>
      <c r="I19" s="23"/>
    </row>
    <row r="20" spans="1:9" ht="21.75" customHeight="1">
      <c r="A20" s="29">
        <v>18</v>
      </c>
      <c r="B20" s="35" t="s">
        <v>98</v>
      </c>
      <c r="C20" s="30" t="s">
        <v>99</v>
      </c>
      <c r="D20" s="30" t="s">
        <v>100</v>
      </c>
      <c r="E20" s="25" t="s">
        <v>61</v>
      </c>
      <c r="F20" s="31"/>
      <c r="G20" s="31"/>
      <c r="H20" s="28" t="s">
        <v>63</v>
      </c>
      <c r="I20" s="30"/>
    </row>
    <row r="21" spans="1:9" ht="21.75" customHeight="1">
      <c r="A21" s="21">
        <v>19</v>
      </c>
      <c r="B21" s="35" t="s">
        <v>98</v>
      </c>
      <c r="C21" s="23" t="s">
        <v>101</v>
      </c>
      <c r="D21" s="23" t="s">
        <v>102</v>
      </c>
      <c r="E21" s="25" t="s">
        <v>61</v>
      </c>
      <c r="F21" s="27"/>
      <c r="G21" s="27"/>
      <c r="H21" s="28" t="s">
        <v>63</v>
      </c>
      <c r="I21" s="23"/>
    </row>
    <row r="22" spans="1:9" ht="21.75" customHeight="1">
      <c r="A22" s="29">
        <v>20</v>
      </c>
      <c r="B22" s="35" t="s">
        <v>98</v>
      </c>
      <c r="C22" s="30" t="s">
        <v>103</v>
      </c>
      <c r="D22" s="30" t="s">
        <v>104</v>
      </c>
      <c r="E22" s="25" t="s">
        <v>61</v>
      </c>
      <c r="F22" s="31"/>
      <c r="G22" s="31"/>
      <c r="H22" s="28" t="s">
        <v>63</v>
      </c>
      <c r="I22" s="30"/>
    </row>
    <row r="23" spans="1:9" ht="21.75" customHeight="1">
      <c r="A23" s="21">
        <v>21</v>
      </c>
      <c r="B23" s="35" t="s">
        <v>98</v>
      </c>
      <c r="C23" s="23" t="s">
        <v>105</v>
      </c>
      <c r="D23" s="23" t="s">
        <v>106</v>
      </c>
      <c r="E23" s="25" t="s">
        <v>61</v>
      </c>
      <c r="F23" s="27"/>
      <c r="G23" s="27"/>
      <c r="H23" s="28" t="s">
        <v>63</v>
      </c>
      <c r="I23" s="23"/>
    </row>
    <row r="24" spans="1:9" ht="21.75" customHeight="1">
      <c r="A24" s="29">
        <v>22</v>
      </c>
      <c r="B24" s="35" t="s">
        <v>98</v>
      </c>
      <c r="C24" s="30" t="s">
        <v>107</v>
      </c>
      <c r="D24" s="30" t="s">
        <v>108</v>
      </c>
      <c r="E24" s="25" t="s">
        <v>61</v>
      </c>
      <c r="F24" s="31"/>
      <c r="G24" s="31"/>
      <c r="H24" s="28" t="s">
        <v>63</v>
      </c>
      <c r="I24" s="30"/>
    </row>
    <row r="25" spans="1:9" ht="21.75" customHeight="1">
      <c r="A25" s="21">
        <v>23</v>
      </c>
      <c r="B25" s="35" t="s">
        <v>98</v>
      </c>
      <c r="C25" s="23" t="s">
        <v>109</v>
      </c>
      <c r="D25" s="23" t="s">
        <v>110</v>
      </c>
      <c r="E25" s="25" t="s">
        <v>61</v>
      </c>
      <c r="F25" s="27"/>
      <c r="G25" s="27"/>
      <c r="H25" s="28" t="s">
        <v>63</v>
      </c>
      <c r="I25" s="23"/>
    </row>
    <row r="26" spans="1:9" ht="21.75" customHeight="1">
      <c r="A26" s="29">
        <v>24</v>
      </c>
      <c r="B26" s="35" t="s">
        <v>111</v>
      </c>
      <c r="C26" s="30" t="s">
        <v>112</v>
      </c>
      <c r="D26" s="30" t="s">
        <v>113</v>
      </c>
      <c r="E26" s="32" t="s">
        <v>72</v>
      </c>
      <c r="F26" s="31"/>
      <c r="G26" s="33" t="s">
        <v>75</v>
      </c>
      <c r="H26" s="28" t="s">
        <v>63</v>
      </c>
      <c r="I26" s="30"/>
    </row>
    <row r="27" spans="1:9" ht="21.75" customHeight="1">
      <c r="A27" s="21">
        <v>25</v>
      </c>
      <c r="B27" s="35" t="s">
        <v>111</v>
      </c>
      <c r="C27" s="23" t="s">
        <v>114</v>
      </c>
      <c r="D27" s="23" t="s">
        <v>115</v>
      </c>
      <c r="E27" s="36" t="s">
        <v>116</v>
      </c>
      <c r="F27" s="27"/>
      <c r="G27" s="33" t="s">
        <v>75</v>
      </c>
      <c r="H27" s="28" t="s">
        <v>63</v>
      </c>
      <c r="I27" s="23"/>
    </row>
    <row r="28" spans="1:9" ht="21.75" customHeight="1">
      <c r="A28" s="29">
        <v>26</v>
      </c>
      <c r="B28" s="37" t="s">
        <v>117</v>
      </c>
      <c r="C28" s="30" t="s">
        <v>118</v>
      </c>
      <c r="D28" s="30" t="s">
        <v>119</v>
      </c>
      <c r="E28" s="32" t="s">
        <v>72</v>
      </c>
      <c r="F28" s="31"/>
      <c r="G28" s="33" t="s">
        <v>75</v>
      </c>
      <c r="H28" s="28" t="s">
        <v>63</v>
      </c>
      <c r="I28" s="30"/>
    </row>
    <row r="29" spans="1:9" ht="21.75" customHeight="1">
      <c r="A29" s="21">
        <v>27</v>
      </c>
      <c r="B29" s="37" t="s">
        <v>117</v>
      </c>
      <c r="C29" s="23" t="s">
        <v>120</v>
      </c>
      <c r="D29" s="24" t="s">
        <v>121</v>
      </c>
      <c r="E29" s="32" t="s">
        <v>72</v>
      </c>
      <c r="F29" s="26" t="s">
        <v>62</v>
      </c>
      <c r="G29" s="27"/>
      <c r="H29" s="28" t="s">
        <v>63</v>
      </c>
      <c r="I29" s="23"/>
    </row>
    <row r="30" spans="1:9" ht="21.75" customHeight="1">
      <c r="A30" s="29">
        <v>28</v>
      </c>
      <c r="B30" s="37" t="s">
        <v>117</v>
      </c>
      <c r="C30" s="30" t="s">
        <v>122</v>
      </c>
      <c r="D30" s="30" t="s">
        <v>123</v>
      </c>
      <c r="E30" s="36" t="s">
        <v>116</v>
      </c>
      <c r="F30" s="31"/>
      <c r="G30" s="33" t="s">
        <v>75</v>
      </c>
      <c r="H30" s="28" t="s">
        <v>63</v>
      </c>
      <c r="I30" s="30"/>
    </row>
  </sheetData>
  <mergeCells count="1">
    <mergeCell ref="A2:I2"/>
  </mergeCells>
  <phoneticPr fontId="32" type="noConversion"/>
  <dataValidations count="1">
    <dataValidation type="list" allowBlank="1" sqref="H3:H30" xr:uid="{00000000-0002-0000-0100-000000000000}">
      <formula1>"PASS,FAIL,WARN,N/A,-"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40"/>
  <sheetViews>
    <sheetView showGridLines="0" topLeftCell="A19" zoomScale="130" zoomScaleNormal="130" workbookViewId="0">
      <selection activeCell="C26" sqref="C26"/>
    </sheetView>
  </sheetViews>
  <sheetFormatPr baseColWidth="10" defaultColWidth="8.6640625" defaultRowHeight="15"/>
  <cols>
    <col min="1" max="1" width="4" customWidth="1"/>
    <col min="2" max="2" width="18" customWidth="1"/>
    <col min="3" max="3" width="38" customWidth="1"/>
    <col min="4" max="4" width="50" customWidth="1"/>
    <col min="5" max="5" width="8" customWidth="1"/>
    <col min="6" max="6" width="7" customWidth="1"/>
    <col min="7" max="7" width="8" customWidth="1"/>
    <col min="8" max="8" width="25" customWidth="1"/>
  </cols>
  <sheetData>
    <row r="1" spans="1:8" ht="31.5" customHeight="1">
      <c r="A1" s="19" t="s">
        <v>48</v>
      </c>
      <c r="B1" s="20" t="s">
        <v>124</v>
      </c>
      <c r="C1" s="20" t="s">
        <v>50</v>
      </c>
      <c r="D1" s="20" t="s">
        <v>51</v>
      </c>
      <c r="E1" s="20" t="s">
        <v>52</v>
      </c>
      <c r="F1" s="19" t="s">
        <v>53</v>
      </c>
      <c r="G1" s="20" t="s">
        <v>55</v>
      </c>
      <c r="H1" s="20" t="s">
        <v>56</v>
      </c>
    </row>
    <row r="2" spans="1:8">
      <c r="A2" s="88" t="s">
        <v>125</v>
      </c>
      <c r="B2" s="88"/>
      <c r="C2" s="88"/>
      <c r="D2" s="88"/>
      <c r="E2" s="88"/>
      <c r="F2" s="88"/>
      <c r="G2" s="88"/>
      <c r="H2" s="88"/>
    </row>
    <row r="3" spans="1:8" ht="21.75" customHeight="1">
      <c r="A3" s="21">
        <v>1</v>
      </c>
      <c r="B3" s="38" t="s">
        <v>126</v>
      </c>
      <c r="C3" s="24" t="s">
        <v>127</v>
      </c>
      <c r="D3" s="23" t="s">
        <v>128</v>
      </c>
      <c r="E3" s="25" t="s">
        <v>61</v>
      </c>
      <c r="F3" s="39"/>
      <c r="G3" s="28" t="s">
        <v>63</v>
      </c>
      <c r="H3" s="23"/>
    </row>
    <row r="4" spans="1:8" ht="21.75" customHeight="1">
      <c r="A4" s="29">
        <v>2</v>
      </c>
      <c r="B4" s="38" t="s">
        <v>126</v>
      </c>
      <c r="C4" s="34" t="s">
        <v>129</v>
      </c>
      <c r="D4" s="30" t="s">
        <v>130</v>
      </c>
      <c r="E4" s="25" t="s">
        <v>61</v>
      </c>
      <c r="F4" s="40"/>
      <c r="G4" s="28" t="s">
        <v>63</v>
      </c>
      <c r="H4" s="30"/>
    </row>
    <row r="5" spans="1:8" ht="21.75" customHeight="1">
      <c r="A5" s="21">
        <v>3</v>
      </c>
      <c r="B5" s="38" t="s">
        <v>126</v>
      </c>
      <c r="C5" s="24" t="s">
        <v>131</v>
      </c>
      <c r="D5" s="23" t="s">
        <v>132</v>
      </c>
      <c r="E5" s="25" t="s">
        <v>61</v>
      </c>
      <c r="F5" s="39"/>
      <c r="G5" s="28" t="s">
        <v>63</v>
      </c>
      <c r="H5" s="23"/>
    </row>
    <row r="6" spans="1:8" ht="21.75" customHeight="1">
      <c r="A6" s="29">
        <v>4</v>
      </c>
      <c r="B6" s="38" t="s">
        <v>126</v>
      </c>
      <c r="C6" s="30" t="s">
        <v>133</v>
      </c>
      <c r="D6" s="30" t="s">
        <v>134</v>
      </c>
      <c r="E6" s="32" t="s">
        <v>72</v>
      </c>
      <c r="F6" s="40"/>
      <c r="G6" s="28" t="s">
        <v>63</v>
      </c>
      <c r="H6" s="30"/>
    </row>
    <row r="7" spans="1:8" ht="21.75" customHeight="1">
      <c r="A7" s="21">
        <v>5</v>
      </c>
      <c r="B7" s="38" t="s">
        <v>126</v>
      </c>
      <c r="C7" s="23" t="s">
        <v>135</v>
      </c>
      <c r="D7" s="23" t="s">
        <v>136</v>
      </c>
      <c r="E7" s="32" t="s">
        <v>72</v>
      </c>
      <c r="F7" s="39"/>
      <c r="G7" s="28" t="s">
        <v>63</v>
      </c>
      <c r="H7" s="23"/>
    </row>
    <row r="8" spans="1:8" ht="21.75" customHeight="1">
      <c r="A8" s="29">
        <v>6</v>
      </c>
      <c r="B8" s="38" t="s">
        <v>137</v>
      </c>
      <c r="C8" s="34" t="s">
        <v>138</v>
      </c>
      <c r="D8" s="30" t="s">
        <v>139</v>
      </c>
      <c r="E8" s="25" t="s">
        <v>61</v>
      </c>
      <c r="F8" s="40"/>
      <c r="G8" s="28" t="s">
        <v>63</v>
      </c>
      <c r="H8" s="30"/>
    </row>
    <row r="9" spans="1:8" ht="21.75" customHeight="1">
      <c r="A9" s="21">
        <v>7</v>
      </c>
      <c r="B9" s="38" t="s">
        <v>137</v>
      </c>
      <c r="C9" s="24" t="s">
        <v>140</v>
      </c>
      <c r="D9" s="23" t="s">
        <v>141</v>
      </c>
      <c r="E9" s="25" t="s">
        <v>61</v>
      </c>
      <c r="F9" s="41" t="s">
        <v>142</v>
      </c>
      <c r="G9" s="28" t="s">
        <v>63</v>
      </c>
      <c r="H9" s="23"/>
    </row>
    <row r="10" spans="1:8" ht="21.75" customHeight="1">
      <c r="A10" s="29">
        <v>8</v>
      </c>
      <c r="B10" s="38" t="s">
        <v>137</v>
      </c>
      <c r="C10" s="34" t="s">
        <v>143</v>
      </c>
      <c r="D10" s="30" t="s">
        <v>144</v>
      </c>
      <c r="E10" s="25" t="s">
        <v>61</v>
      </c>
      <c r="F10" s="40"/>
      <c r="G10" s="28" t="s">
        <v>63</v>
      </c>
      <c r="H10" s="30"/>
    </row>
    <row r="11" spans="1:8" ht="21.75" customHeight="1">
      <c r="A11" s="21">
        <v>9</v>
      </c>
      <c r="B11" s="38" t="s">
        <v>137</v>
      </c>
      <c r="C11" s="24" t="s">
        <v>145</v>
      </c>
      <c r="D11" s="23" t="s">
        <v>146</v>
      </c>
      <c r="E11" s="32" t="s">
        <v>72</v>
      </c>
      <c r="F11" s="39"/>
      <c r="G11" s="28" t="s">
        <v>63</v>
      </c>
      <c r="H11" s="23"/>
    </row>
    <row r="12" spans="1:8" ht="21.75" customHeight="1">
      <c r="A12" s="29">
        <v>10</v>
      </c>
      <c r="B12" s="38" t="s">
        <v>147</v>
      </c>
      <c r="C12" s="30" t="s">
        <v>148</v>
      </c>
      <c r="D12" s="30" t="s">
        <v>149</v>
      </c>
      <c r="E12" s="25" t="s">
        <v>61</v>
      </c>
      <c r="F12" s="40"/>
      <c r="G12" s="28" t="s">
        <v>63</v>
      </c>
      <c r="H12" s="30"/>
    </row>
    <row r="13" spans="1:8" ht="21.75" customHeight="1">
      <c r="A13" s="21">
        <v>11</v>
      </c>
      <c r="B13" s="38" t="s">
        <v>147</v>
      </c>
      <c r="C13" s="23" t="s">
        <v>150</v>
      </c>
      <c r="D13" s="23" t="s">
        <v>151</v>
      </c>
      <c r="E13" s="25" t="s">
        <v>61</v>
      </c>
      <c r="F13" s="39"/>
      <c r="G13" s="28" t="s">
        <v>63</v>
      </c>
      <c r="H13" s="23"/>
    </row>
    <row r="14" spans="1:8" ht="21.75" customHeight="1">
      <c r="A14" s="29">
        <v>12</v>
      </c>
      <c r="B14" s="38" t="s">
        <v>147</v>
      </c>
      <c r="C14" s="30" t="s">
        <v>152</v>
      </c>
      <c r="D14" s="30" t="s">
        <v>153</v>
      </c>
      <c r="E14" s="32" t="s">
        <v>72</v>
      </c>
      <c r="F14" s="40"/>
      <c r="G14" s="28" t="s">
        <v>63</v>
      </c>
      <c r="H14" s="30"/>
    </row>
    <row r="15" spans="1:8" ht="21.75" customHeight="1">
      <c r="A15" s="21">
        <v>13</v>
      </c>
      <c r="B15" s="38" t="s">
        <v>147</v>
      </c>
      <c r="C15" s="23" t="s">
        <v>154</v>
      </c>
      <c r="D15" s="23" t="s">
        <v>155</v>
      </c>
      <c r="E15" s="32" t="s">
        <v>72</v>
      </c>
      <c r="F15" s="39"/>
      <c r="G15" s="28" t="s">
        <v>63</v>
      </c>
      <c r="H15" s="23"/>
    </row>
    <row r="16" spans="1:8" ht="21.75" customHeight="1">
      <c r="A16" s="29">
        <v>14</v>
      </c>
      <c r="B16" s="38" t="s">
        <v>147</v>
      </c>
      <c r="C16" s="30" t="s">
        <v>156</v>
      </c>
      <c r="D16" s="34" t="s">
        <v>157</v>
      </c>
      <c r="E16" s="32" t="s">
        <v>72</v>
      </c>
      <c r="F16" s="40"/>
      <c r="G16" s="28" t="s">
        <v>63</v>
      </c>
      <c r="H16" s="30"/>
    </row>
    <row r="17" spans="1:8" ht="21.75" customHeight="1">
      <c r="A17" s="21">
        <v>15</v>
      </c>
      <c r="B17" s="38" t="s">
        <v>147</v>
      </c>
      <c r="C17" s="23" t="s">
        <v>158</v>
      </c>
      <c r="D17" s="23" t="s">
        <v>159</v>
      </c>
      <c r="E17" s="25" t="s">
        <v>61</v>
      </c>
      <c r="F17" s="39"/>
      <c r="G17" s="28" t="s">
        <v>63</v>
      </c>
      <c r="H17" s="23"/>
    </row>
    <row r="18" spans="1:8" ht="21.75" customHeight="1">
      <c r="A18" s="29">
        <v>16</v>
      </c>
      <c r="B18" s="38" t="s">
        <v>160</v>
      </c>
      <c r="C18" s="34" t="s">
        <v>161</v>
      </c>
      <c r="D18" s="30" t="s">
        <v>162</v>
      </c>
      <c r="E18" s="32" t="s">
        <v>72</v>
      </c>
      <c r="F18" s="40"/>
      <c r="G18" s="28" t="s">
        <v>63</v>
      </c>
      <c r="H18" s="30"/>
    </row>
    <row r="19" spans="1:8" ht="21.75" customHeight="1">
      <c r="A19" s="21">
        <v>17</v>
      </c>
      <c r="B19" s="38" t="s">
        <v>160</v>
      </c>
      <c r="C19" s="24" t="s">
        <v>163</v>
      </c>
      <c r="D19" s="23" t="s">
        <v>164</v>
      </c>
      <c r="E19" s="32" t="s">
        <v>72</v>
      </c>
      <c r="F19" s="39"/>
      <c r="G19" s="28" t="s">
        <v>63</v>
      </c>
      <c r="H19" s="23"/>
    </row>
    <row r="20" spans="1:8" ht="21.75" customHeight="1">
      <c r="A20" s="29">
        <v>18</v>
      </c>
      <c r="B20" s="38" t="s">
        <v>160</v>
      </c>
      <c r="C20" s="34" t="s">
        <v>165</v>
      </c>
      <c r="D20" s="30" t="s">
        <v>166</v>
      </c>
      <c r="E20" s="32" t="s">
        <v>72</v>
      </c>
      <c r="F20" s="40"/>
      <c r="G20" s="28" t="s">
        <v>63</v>
      </c>
      <c r="H20" s="30"/>
    </row>
    <row r="21" spans="1:8" ht="21.75" customHeight="1">
      <c r="A21" s="21">
        <v>19</v>
      </c>
      <c r="B21" s="42" t="s">
        <v>167</v>
      </c>
      <c r="C21" s="24" t="s">
        <v>168</v>
      </c>
      <c r="D21" s="23" t="s">
        <v>169</v>
      </c>
      <c r="E21" s="25" t="s">
        <v>61</v>
      </c>
      <c r="F21" s="39"/>
      <c r="G21" s="28" t="s">
        <v>63</v>
      </c>
      <c r="H21" s="23"/>
    </row>
    <row r="22" spans="1:8" ht="21.75" customHeight="1">
      <c r="A22" s="29">
        <v>20</v>
      </c>
      <c r="B22" s="42" t="s">
        <v>167</v>
      </c>
      <c r="C22" s="30" t="s">
        <v>170</v>
      </c>
      <c r="D22" s="34" t="s">
        <v>171</v>
      </c>
      <c r="E22" s="25" t="s">
        <v>61</v>
      </c>
      <c r="F22" s="40"/>
      <c r="G22" s="28" t="s">
        <v>63</v>
      </c>
      <c r="H22" s="30"/>
    </row>
    <row r="23" spans="1:8" ht="21.75" customHeight="1">
      <c r="A23" s="21">
        <v>21</v>
      </c>
      <c r="B23" s="42" t="s">
        <v>167</v>
      </c>
      <c r="C23" s="24" t="s">
        <v>172</v>
      </c>
      <c r="D23" s="24" t="s">
        <v>173</v>
      </c>
      <c r="E23" s="25" t="s">
        <v>61</v>
      </c>
      <c r="F23" s="41" t="s">
        <v>174</v>
      </c>
      <c r="G23" s="28" t="s">
        <v>63</v>
      </c>
      <c r="H23" s="23"/>
    </row>
    <row r="24" spans="1:8" ht="21.75" customHeight="1">
      <c r="A24" s="29">
        <v>22</v>
      </c>
      <c r="B24" s="38" t="s">
        <v>175</v>
      </c>
      <c r="C24" s="30" t="s">
        <v>176</v>
      </c>
      <c r="D24" s="30" t="s">
        <v>177</v>
      </c>
      <c r="E24" s="32" t="s">
        <v>72</v>
      </c>
      <c r="F24" s="40"/>
      <c r="G24" s="28" t="s">
        <v>63</v>
      </c>
      <c r="H24" s="30"/>
    </row>
    <row r="25" spans="1:8" ht="21.75" customHeight="1">
      <c r="A25" s="21">
        <v>23</v>
      </c>
      <c r="B25" s="38" t="s">
        <v>175</v>
      </c>
      <c r="C25" s="23" t="s">
        <v>178</v>
      </c>
      <c r="D25" s="23" t="s">
        <v>179</v>
      </c>
      <c r="E25" s="32" t="s">
        <v>72</v>
      </c>
      <c r="F25" s="39"/>
      <c r="G25" s="28" t="s">
        <v>63</v>
      </c>
      <c r="H25" s="23"/>
    </row>
    <row r="26" spans="1:8" ht="21.75" customHeight="1">
      <c r="A26" s="29">
        <v>24</v>
      </c>
      <c r="B26" s="43" t="s">
        <v>180</v>
      </c>
      <c r="C26" s="34" t="s">
        <v>181</v>
      </c>
      <c r="D26" s="30" t="s">
        <v>182</v>
      </c>
      <c r="E26" s="32" t="s">
        <v>72</v>
      </c>
      <c r="F26" s="40"/>
      <c r="G26" s="28" t="s">
        <v>63</v>
      </c>
      <c r="H26" s="30"/>
    </row>
    <row r="27" spans="1:8" ht="21.75" customHeight="1">
      <c r="A27" s="21">
        <v>25</v>
      </c>
      <c r="B27" s="43" t="s">
        <v>180</v>
      </c>
      <c r="C27" s="24" t="s">
        <v>183</v>
      </c>
      <c r="D27" s="23" t="s">
        <v>184</v>
      </c>
      <c r="E27" s="25" t="s">
        <v>61</v>
      </c>
      <c r="F27" s="39"/>
      <c r="G27" s="28" t="s">
        <v>63</v>
      </c>
      <c r="H27" s="23"/>
    </row>
    <row r="28" spans="1:8" ht="21.75" customHeight="1">
      <c r="A28" s="29">
        <v>26</v>
      </c>
      <c r="B28" s="43" t="s">
        <v>180</v>
      </c>
      <c r="C28" s="30" t="s">
        <v>185</v>
      </c>
      <c r="D28" s="30" t="s">
        <v>186</v>
      </c>
      <c r="E28" s="32" t="s">
        <v>72</v>
      </c>
      <c r="F28" s="40"/>
      <c r="G28" s="28" t="s">
        <v>63</v>
      </c>
      <c r="H28" s="30"/>
    </row>
    <row r="29" spans="1:8" ht="21.75" customHeight="1">
      <c r="A29" s="21">
        <v>27</v>
      </c>
      <c r="B29" s="43" t="s">
        <v>187</v>
      </c>
      <c r="C29" s="23" t="s">
        <v>188</v>
      </c>
      <c r="D29" s="23" t="s">
        <v>189</v>
      </c>
      <c r="E29" s="32" t="s">
        <v>72</v>
      </c>
      <c r="F29" s="39"/>
      <c r="G29" s="28" t="s">
        <v>63</v>
      </c>
      <c r="H29" s="23"/>
    </row>
    <row r="30" spans="1:8" ht="21.75" customHeight="1">
      <c r="A30" s="29">
        <v>28</v>
      </c>
      <c r="B30" s="43" t="s">
        <v>187</v>
      </c>
      <c r="C30" s="30" t="s">
        <v>190</v>
      </c>
      <c r="D30" s="30" t="s">
        <v>191</v>
      </c>
      <c r="E30" s="25" t="s">
        <v>61</v>
      </c>
      <c r="F30" s="40"/>
      <c r="G30" s="28" t="s">
        <v>63</v>
      </c>
      <c r="H30" s="30"/>
    </row>
    <row r="31" spans="1:8" ht="21.75" customHeight="1">
      <c r="A31" s="21">
        <v>29</v>
      </c>
      <c r="B31" s="44" t="s">
        <v>192</v>
      </c>
      <c r="C31" s="24" t="s">
        <v>193</v>
      </c>
      <c r="D31" s="23" t="s">
        <v>194</v>
      </c>
      <c r="E31" s="25" t="s">
        <v>61</v>
      </c>
      <c r="F31" s="39"/>
      <c r="G31" s="28" t="s">
        <v>63</v>
      </c>
      <c r="H31" s="23"/>
    </row>
    <row r="32" spans="1:8" ht="21.75" customHeight="1">
      <c r="A32" s="29">
        <v>30</v>
      </c>
      <c r="B32" s="44" t="s">
        <v>192</v>
      </c>
      <c r="C32" s="34" t="s">
        <v>195</v>
      </c>
      <c r="D32" s="30" t="s">
        <v>196</v>
      </c>
      <c r="E32" s="25" t="s">
        <v>61</v>
      </c>
      <c r="F32" s="40"/>
      <c r="G32" s="28" t="s">
        <v>63</v>
      </c>
      <c r="H32" s="30"/>
    </row>
    <row r="33" spans="1:8" ht="21.75" customHeight="1">
      <c r="A33" s="21">
        <v>31</v>
      </c>
      <c r="B33" s="44" t="s">
        <v>192</v>
      </c>
      <c r="C33" s="24" t="s">
        <v>197</v>
      </c>
      <c r="D33" s="23" t="s">
        <v>198</v>
      </c>
      <c r="E33" s="25" t="s">
        <v>61</v>
      </c>
      <c r="F33" s="39"/>
      <c r="G33" s="28" t="s">
        <v>63</v>
      </c>
      <c r="H33" s="23"/>
    </row>
    <row r="34" spans="1:8" ht="21.75" customHeight="1">
      <c r="A34" s="29">
        <v>32</v>
      </c>
      <c r="B34" s="44" t="s">
        <v>192</v>
      </c>
      <c r="C34" s="34" t="s">
        <v>199</v>
      </c>
      <c r="D34" s="30" t="s">
        <v>200</v>
      </c>
      <c r="E34" s="32" t="s">
        <v>72</v>
      </c>
      <c r="F34" s="40"/>
      <c r="G34" s="28" t="s">
        <v>63</v>
      </c>
      <c r="H34" s="30"/>
    </row>
    <row r="35" spans="1:8" ht="21.75" customHeight="1">
      <c r="A35" s="21">
        <v>33</v>
      </c>
      <c r="B35" s="45" t="s">
        <v>201</v>
      </c>
      <c r="C35" s="24" t="s">
        <v>202</v>
      </c>
      <c r="D35" s="23" t="s">
        <v>203</v>
      </c>
      <c r="E35" s="32" t="s">
        <v>72</v>
      </c>
      <c r="F35" s="39"/>
      <c r="G35" s="28" t="s">
        <v>63</v>
      </c>
      <c r="H35" s="23"/>
    </row>
    <row r="36" spans="1:8" ht="21.75" customHeight="1">
      <c r="A36" s="29">
        <v>34</v>
      </c>
      <c r="B36" s="45" t="s">
        <v>201</v>
      </c>
      <c r="C36" s="34" t="s">
        <v>204</v>
      </c>
      <c r="D36" s="30" t="s">
        <v>205</v>
      </c>
      <c r="E36" s="32" t="s">
        <v>72</v>
      </c>
      <c r="F36" s="40"/>
      <c r="G36" s="28" t="s">
        <v>63</v>
      </c>
      <c r="H36" s="30"/>
    </row>
    <row r="37" spans="1:8" ht="21.75" customHeight="1">
      <c r="A37" s="21">
        <v>35</v>
      </c>
      <c r="B37" s="46" t="s">
        <v>206</v>
      </c>
      <c r="C37" s="23" t="s">
        <v>207</v>
      </c>
      <c r="D37" s="23" t="s">
        <v>208</v>
      </c>
      <c r="E37" s="36" t="s">
        <v>116</v>
      </c>
      <c r="F37" s="39"/>
      <c r="G37" s="28" t="s">
        <v>63</v>
      </c>
      <c r="H37" s="23"/>
    </row>
    <row r="38" spans="1:8" ht="21.75" customHeight="1">
      <c r="A38" s="29">
        <v>36</v>
      </c>
      <c r="B38" s="46" t="s">
        <v>209</v>
      </c>
      <c r="C38" s="30" t="s">
        <v>210</v>
      </c>
      <c r="D38" s="30" t="s">
        <v>211</v>
      </c>
      <c r="E38" s="36" t="s">
        <v>116</v>
      </c>
      <c r="F38" s="40"/>
      <c r="G38" s="28" t="s">
        <v>63</v>
      </c>
      <c r="H38" s="30"/>
    </row>
    <row r="39" spans="1:8" ht="21.75" customHeight="1">
      <c r="A39" s="21">
        <v>37</v>
      </c>
      <c r="B39" s="44" t="s">
        <v>212</v>
      </c>
      <c r="C39" s="23" t="s">
        <v>213</v>
      </c>
      <c r="D39" s="23" t="s">
        <v>214</v>
      </c>
      <c r="E39" s="25" t="s">
        <v>61</v>
      </c>
      <c r="F39" s="39"/>
      <c r="G39" s="28" t="s">
        <v>63</v>
      </c>
      <c r="H39" s="23"/>
    </row>
    <row r="40" spans="1:8" ht="21.75" customHeight="1">
      <c r="A40" s="29">
        <v>38</v>
      </c>
      <c r="B40" s="44" t="s">
        <v>212</v>
      </c>
      <c r="C40" s="30" t="s">
        <v>215</v>
      </c>
      <c r="D40" s="30" t="s">
        <v>216</v>
      </c>
      <c r="E40" s="25" t="s">
        <v>61</v>
      </c>
      <c r="F40" s="40"/>
      <c r="G40" s="28" t="s">
        <v>63</v>
      </c>
      <c r="H40" s="30"/>
    </row>
  </sheetData>
  <mergeCells count="1">
    <mergeCell ref="A2:H2"/>
  </mergeCells>
  <phoneticPr fontId="32" type="noConversion"/>
  <dataValidations count="1">
    <dataValidation type="list" allowBlank="1" sqref="G3:G40" xr:uid="{00000000-0002-0000-0200-000000000000}">
      <formula1>"PASS,FAIL,WARN,N/A,-"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27"/>
  <sheetViews>
    <sheetView showGridLines="0" zoomScale="140" zoomScaleNormal="140" workbookViewId="0">
      <selection activeCell="C16" sqref="C16"/>
    </sheetView>
  </sheetViews>
  <sheetFormatPr baseColWidth="10" defaultColWidth="8.6640625" defaultRowHeight="15"/>
  <cols>
    <col min="1" max="1" width="4" customWidth="1"/>
    <col min="2" max="2" width="18" customWidth="1"/>
    <col min="3" max="3" width="38" customWidth="1"/>
    <col min="4" max="4" width="50" customWidth="1"/>
    <col min="5" max="5" width="8" customWidth="1"/>
    <col min="6" max="7" width="7" customWidth="1"/>
    <col min="8" max="8" width="8" customWidth="1"/>
    <col min="9" max="9" width="25" customWidth="1"/>
  </cols>
  <sheetData>
    <row r="1" spans="1:9" ht="31.5" customHeight="1">
      <c r="A1" s="19" t="s">
        <v>48</v>
      </c>
      <c r="B1" s="20" t="s">
        <v>217</v>
      </c>
      <c r="C1" s="20" t="s">
        <v>50</v>
      </c>
      <c r="D1" s="20" t="s">
        <v>218</v>
      </c>
      <c r="E1" s="20" t="s">
        <v>52</v>
      </c>
      <c r="F1" s="19" t="s">
        <v>53</v>
      </c>
      <c r="G1" s="19" t="s">
        <v>54</v>
      </c>
      <c r="H1" s="20" t="s">
        <v>55</v>
      </c>
      <c r="I1" s="20" t="s">
        <v>56</v>
      </c>
    </row>
    <row r="2" spans="1:9">
      <c r="A2" s="89" t="s">
        <v>219</v>
      </c>
      <c r="B2" s="89"/>
      <c r="C2" s="89"/>
      <c r="D2" s="89"/>
      <c r="E2" s="89"/>
      <c r="F2" s="89"/>
      <c r="G2" s="89"/>
      <c r="H2" s="89"/>
      <c r="I2" s="89"/>
    </row>
    <row r="3" spans="1:9" ht="21.75" customHeight="1">
      <c r="A3" s="21">
        <v>1</v>
      </c>
      <c r="B3" s="42" t="s">
        <v>220</v>
      </c>
      <c r="C3" s="24" t="s">
        <v>221</v>
      </c>
      <c r="D3" s="23" t="s">
        <v>222</v>
      </c>
      <c r="E3" s="25" t="s">
        <v>61</v>
      </c>
      <c r="F3" s="27"/>
      <c r="G3" s="27"/>
      <c r="H3" s="28" t="s">
        <v>63</v>
      </c>
      <c r="I3" s="23"/>
    </row>
    <row r="4" spans="1:9" ht="21.75" customHeight="1">
      <c r="A4" s="29">
        <v>2</v>
      </c>
      <c r="B4" s="42" t="s">
        <v>220</v>
      </c>
      <c r="C4" s="34" t="s">
        <v>223</v>
      </c>
      <c r="D4" s="30" t="s">
        <v>224</v>
      </c>
      <c r="E4" s="25" t="s">
        <v>61</v>
      </c>
      <c r="F4" s="31"/>
      <c r="G4" s="31"/>
      <c r="H4" s="28" t="s">
        <v>63</v>
      </c>
      <c r="I4" s="30"/>
    </row>
    <row r="5" spans="1:9" ht="21.75" customHeight="1">
      <c r="A5" s="21">
        <v>3</v>
      </c>
      <c r="B5" s="42" t="s">
        <v>220</v>
      </c>
      <c r="C5" s="24" t="s">
        <v>225</v>
      </c>
      <c r="D5" s="23" t="s">
        <v>226</v>
      </c>
      <c r="E5" s="25" t="s">
        <v>61</v>
      </c>
      <c r="F5" s="27"/>
      <c r="G5" s="33" t="s">
        <v>75</v>
      </c>
      <c r="H5" s="28" t="s">
        <v>63</v>
      </c>
      <c r="I5" s="23"/>
    </row>
    <row r="6" spans="1:9" ht="21.75" customHeight="1">
      <c r="A6" s="29">
        <v>4</v>
      </c>
      <c r="B6" s="42" t="s">
        <v>227</v>
      </c>
      <c r="C6" s="30" t="s">
        <v>228</v>
      </c>
      <c r="D6" s="30" t="s">
        <v>229</v>
      </c>
      <c r="E6" s="25" t="s">
        <v>61</v>
      </c>
      <c r="F6" s="31"/>
      <c r="G6" s="31"/>
      <c r="H6" s="28" t="s">
        <v>63</v>
      </c>
      <c r="I6" s="30"/>
    </row>
    <row r="7" spans="1:9" ht="21.75" customHeight="1">
      <c r="A7" s="21">
        <v>5</v>
      </c>
      <c r="B7" s="42" t="s">
        <v>227</v>
      </c>
      <c r="C7" s="24" t="s">
        <v>230</v>
      </c>
      <c r="D7" s="23" t="s">
        <v>231</v>
      </c>
      <c r="E7" s="25" t="s">
        <v>61</v>
      </c>
      <c r="F7" s="27"/>
      <c r="G7" s="27"/>
      <c r="H7" s="28" t="s">
        <v>63</v>
      </c>
      <c r="I7" s="23"/>
    </row>
    <row r="8" spans="1:9" ht="21.75" customHeight="1">
      <c r="A8" s="29">
        <v>6</v>
      </c>
      <c r="B8" s="42" t="s">
        <v>227</v>
      </c>
      <c r="C8" s="30" t="s">
        <v>232</v>
      </c>
      <c r="D8" s="34" t="s">
        <v>233</v>
      </c>
      <c r="E8" s="32" t="s">
        <v>72</v>
      </c>
      <c r="F8" s="31"/>
      <c r="G8" s="31"/>
      <c r="H8" s="28" t="s">
        <v>63</v>
      </c>
      <c r="I8" s="30"/>
    </row>
    <row r="9" spans="1:9" ht="21.75" customHeight="1">
      <c r="A9" s="21">
        <v>7</v>
      </c>
      <c r="B9" s="47" t="s">
        <v>234</v>
      </c>
      <c r="C9" s="23" t="s">
        <v>235</v>
      </c>
      <c r="D9" s="23" t="s">
        <v>236</v>
      </c>
      <c r="E9" s="32" t="s">
        <v>72</v>
      </c>
      <c r="F9" s="27"/>
      <c r="G9" s="27"/>
      <c r="H9" s="28" t="s">
        <v>63</v>
      </c>
      <c r="I9" s="23"/>
    </row>
    <row r="10" spans="1:9" ht="21.75" customHeight="1">
      <c r="A10" s="29">
        <v>8</v>
      </c>
      <c r="B10" s="47" t="s">
        <v>234</v>
      </c>
      <c r="C10" s="34" t="s">
        <v>237</v>
      </c>
      <c r="D10" s="30" t="s">
        <v>238</v>
      </c>
      <c r="E10" s="32" t="s">
        <v>72</v>
      </c>
      <c r="F10" s="31"/>
      <c r="G10" s="31"/>
      <c r="H10" s="28" t="s">
        <v>63</v>
      </c>
      <c r="I10" s="30"/>
    </row>
    <row r="11" spans="1:9" ht="21.75" customHeight="1">
      <c r="A11" s="21">
        <v>9</v>
      </c>
      <c r="B11" s="47" t="s">
        <v>234</v>
      </c>
      <c r="C11" s="23" t="s">
        <v>239</v>
      </c>
      <c r="D11" s="24" t="s">
        <v>240</v>
      </c>
      <c r="E11" s="32" t="s">
        <v>72</v>
      </c>
      <c r="F11" s="27"/>
      <c r="G11" s="27"/>
      <c r="H11" s="28" t="s">
        <v>63</v>
      </c>
      <c r="I11" s="23"/>
    </row>
    <row r="12" spans="1:9" ht="21.75" customHeight="1">
      <c r="A12" s="29">
        <v>10</v>
      </c>
      <c r="B12" s="45" t="s">
        <v>241</v>
      </c>
      <c r="C12" s="30" t="s">
        <v>242</v>
      </c>
      <c r="D12" s="30" t="s">
        <v>243</v>
      </c>
      <c r="E12" s="25" t="s">
        <v>61</v>
      </c>
      <c r="F12" s="31"/>
      <c r="G12" s="33" t="s">
        <v>75</v>
      </c>
      <c r="H12" s="28" t="s">
        <v>63</v>
      </c>
      <c r="I12" s="30"/>
    </row>
    <row r="13" spans="1:9" ht="21.75" customHeight="1">
      <c r="A13" s="21">
        <v>11</v>
      </c>
      <c r="B13" s="45" t="s">
        <v>241</v>
      </c>
      <c r="C13" s="23" t="s">
        <v>244</v>
      </c>
      <c r="D13" s="23" t="s">
        <v>245</v>
      </c>
      <c r="E13" s="25" t="s">
        <v>61</v>
      </c>
      <c r="F13" s="27"/>
      <c r="G13" s="33" t="s">
        <v>75</v>
      </c>
      <c r="H13" s="28" t="s">
        <v>63</v>
      </c>
      <c r="I13" s="23"/>
    </row>
    <row r="14" spans="1:9" ht="21.75" customHeight="1">
      <c r="A14" s="29">
        <v>12</v>
      </c>
      <c r="B14" s="45" t="s">
        <v>241</v>
      </c>
      <c r="C14" s="30" t="s">
        <v>246</v>
      </c>
      <c r="D14" s="30" t="s">
        <v>247</v>
      </c>
      <c r="E14" s="32" t="s">
        <v>72</v>
      </c>
      <c r="F14" s="31"/>
      <c r="G14" s="31"/>
      <c r="H14" s="28" t="s">
        <v>63</v>
      </c>
      <c r="I14" s="30"/>
    </row>
    <row r="15" spans="1:9" ht="21.75" customHeight="1">
      <c r="A15" s="21">
        <v>13</v>
      </c>
      <c r="B15" s="45" t="s">
        <v>241</v>
      </c>
      <c r="C15" s="23" t="s">
        <v>248</v>
      </c>
      <c r="D15" s="23" t="s">
        <v>249</v>
      </c>
      <c r="E15" s="32" t="s">
        <v>72</v>
      </c>
      <c r="F15" s="26" t="s">
        <v>62</v>
      </c>
      <c r="G15" s="27"/>
      <c r="H15" s="28" t="s">
        <v>63</v>
      </c>
      <c r="I15" s="23"/>
    </row>
    <row r="16" spans="1:9" ht="21.75" customHeight="1">
      <c r="A16" s="29">
        <v>14</v>
      </c>
      <c r="B16" s="45" t="s">
        <v>241</v>
      </c>
      <c r="C16" s="30" t="s">
        <v>250</v>
      </c>
      <c r="D16" s="30" t="s">
        <v>251</v>
      </c>
      <c r="E16" s="32" t="s">
        <v>72</v>
      </c>
      <c r="F16" s="31"/>
      <c r="G16" s="33" t="s">
        <v>75</v>
      </c>
      <c r="H16" s="28" t="s">
        <v>63</v>
      </c>
      <c r="I16" s="30"/>
    </row>
    <row r="17" spans="1:9" ht="21.75" customHeight="1">
      <c r="A17" s="21">
        <v>15</v>
      </c>
      <c r="B17" s="48" t="s">
        <v>252</v>
      </c>
      <c r="C17" s="23" t="s">
        <v>253</v>
      </c>
      <c r="D17" s="23" t="s">
        <v>254</v>
      </c>
      <c r="E17" s="32" t="s">
        <v>72</v>
      </c>
      <c r="F17" s="27"/>
      <c r="G17" s="27"/>
      <c r="H17" s="28" t="s">
        <v>63</v>
      </c>
      <c r="I17" s="23"/>
    </row>
    <row r="18" spans="1:9" ht="21.75" customHeight="1">
      <c r="A18" s="29">
        <v>16</v>
      </c>
      <c r="B18" s="48" t="s">
        <v>252</v>
      </c>
      <c r="C18" s="30" t="s">
        <v>255</v>
      </c>
      <c r="D18" s="30" t="s">
        <v>256</v>
      </c>
      <c r="E18" s="25" t="s">
        <v>61</v>
      </c>
      <c r="F18" s="31"/>
      <c r="G18" s="31"/>
      <c r="H18" s="28" t="s">
        <v>63</v>
      </c>
      <c r="I18" s="30"/>
    </row>
    <row r="19" spans="1:9" ht="21.75" customHeight="1">
      <c r="A19" s="21">
        <v>17</v>
      </c>
      <c r="B19" s="48" t="s">
        <v>252</v>
      </c>
      <c r="C19" s="23" t="s">
        <v>257</v>
      </c>
      <c r="D19" s="23" t="s">
        <v>258</v>
      </c>
      <c r="E19" s="32" t="s">
        <v>72</v>
      </c>
      <c r="F19" s="27"/>
      <c r="G19" s="27"/>
      <c r="H19" s="28" t="s">
        <v>63</v>
      </c>
      <c r="I19" s="23"/>
    </row>
    <row r="20" spans="1:9" ht="21.75" customHeight="1">
      <c r="A20" s="29">
        <v>18</v>
      </c>
      <c r="B20" s="48" t="s">
        <v>252</v>
      </c>
      <c r="C20" s="30" t="s">
        <v>259</v>
      </c>
      <c r="D20" s="30" t="s">
        <v>260</v>
      </c>
      <c r="E20" s="36" t="s">
        <v>116</v>
      </c>
      <c r="F20" s="31"/>
      <c r="G20" s="31"/>
      <c r="H20" s="28" t="s">
        <v>63</v>
      </c>
      <c r="I20" s="30"/>
    </row>
    <row r="21" spans="1:9" ht="21.75" customHeight="1">
      <c r="A21" s="21">
        <v>19</v>
      </c>
      <c r="B21" s="48" t="s">
        <v>252</v>
      </c>
      <c r="C21" s="23" t="s">
        <v>261</v>
      </c>
      <c r="D21" s="23" t="s">
        <v>262</v>
      </c>
      <c r="E21" s="32" t="s">
        <v>72</v>
      </c>
      <c r="F21" s="26" t="s">
        <v>62</v>
      </c>
      <c r="G21" s="27"/>
      <c r="H21" s="28" t="s">
        <v>63</v>
      </c>
      <c r="I21" s="23"/>
    </row>
    <row r="22" spans="1:9" ht="21.75" customHeight="1">
      <c r="A22" s="29">
        <v>20</v>
      </c>
      <c r="B22" s="48" t="s">
        <v>252</v>
      </c>
      <c r="C22" s="30" t="s">
        <v>263</v>
      </c>
      <c r="D22" s="30" t="s">
        <v>264</v>
      </c>
      <c r="E22" s="25" t="s">
        <v>61</v>
      </c>
      <c r="F22" s="31"/>
      <c r="G22" s="31"/>
      <c r="H22" s="28" t="s">
        <v>63</v>
      </c>
      <c r="I22" s="30"/>
    </row>
    <row r="23" spans="1:9" ht="21.75" customHeight="1">
      <c r="A23" s="21">
        <v>21</v>
      </c>
      <c r="B23" s="44" t="s">
        <v>265</v>
      </c>
      <c r="C23" s="23" t="s">
        <v>266</v>
      </c>
      <c r="D23" s="23" t="s">
        <v>267</v>
      </c>
      <c r="E23" s="25" t="s">
        <v>61</v>
      </c>
      <c r="F23" s="27"/>
      <c r="G23" s="27"/>
      <c r="H23" s="28" t="s">
        <v>63</v>
      </c>
      <c r="I23" s="23"/>
    </row>
    <row r="24" spans="1:9" ht="21.75" customHeight="1">
      <c r="A24" s="29">
        <v>22</v>
      </c>
      <c r="B24" s="44" t="s">
        <v>265</v>
      </c>
      <c r="C24" s="30" t="s">
        <v>268</v>
      </c>
      <c r="D24" s="30" t="s">
        <v>269</v>
      </c>
      <c r="E24" s="32" t="s">
        <v>72</v>
      </c>
      <c r="F24" s="31"/>
      <c r="G24" s="31"/>
      <c r="H24" s="28" t="s">
        <v>63</v>
      </c>
      <c r="I24" s="30"/>
    </row>
    <row r="25" spans="1:9" ht="21.75" customHeight="1">
      <c r="A25" s="21">
        <v>23</v>
      </c>
      <c r="B25" s="44" t="s">
        <v>265</v>
      </c>
      <c r="C25" s="24" t="s">
        <v>270</v>
      </c>
      <c r="D25" s="24" t="s">
        <v>271</v>
      </c>
      <c r="E25" s="32" t="s">
        <v>72</v>
      </c>
      <c r="F25" s="27"/>
      <c r="G25" s="27"/>
      <c r="H25" s="28" t="s">
        <v>63</v>
      </c>
      <c r="I25" s="23"/>
    </row>
    <row r="26" spans="1:9" ht="21.75" customHeight="1">
      <c r="A26" s="29">
        <v>24</v>
      </c>
      <c r="B26" s="49" t="s">
        <v>272</v>
      </c>
      <c r="C26" s="30" t="s">
        <v>273</v>
      </c>
      <c r="D26" s="30" t="s">
        <v>274</v>
      </c>
      <c r="E26" s="25" t="s">
        <v>61</v>
      </c>
      <c r="F26" s="31"/>
      <c r="G26" s="31"/>
      <c r="H26" s="28" t="s">
        <v>63</v>
      </c>
      <c r="I26" s="30"/>
    </row>
    <row r="27" spans="1:9" ht="21.75" customHeight="1">
      <c r="A27" s="21">
        <v>25</v>
      </c>
      <c r="B27" s="49" t="s">
        <v>272</v>
      </c>
      <c r="C27" s="23" t="s">
        <v>275</v>
      </c>
      <c r="D27" s="23" t="s">
        <v>276</v>
      </c>
      <c r="E27" s="25" t="s">
        <v>61</v>
      </c>
      <c r="F27" s="27"/>
      <c r="G27" s="27"/>
      <c r="H27" s="28" t="s">
        <v>63</v>
      </c>
      <c r="I27" s="23"/>
    </row>
  </sheetData>
  <mergeCells count="1">
    <mergeCell ref="A2:I2"/>
  </mergeCells>
  <phoneticPr fontId="32" type="noConversion"/>
  <dataValidations count="1">
    <dataValidation type="list" allowBlank="1" sqref="H3:H27" xr:uid="{00000000-0002-0000-0300-000000000000}">
      <formula1>"PASS,FAIL,WARN,N/A,-"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44"/>
  <sheetViews>
    <sheetView showGridLines="0" topLeftCell="A24" zoomScale="140" zoomScaleNormal="140" workbookViewId="0">
      <selection activeCell="G46" sqref="G46"/>
    </sheetView>
  </sheetViews>
  <sheetFormatPr baseColWidth="10" defaultColWidth="8.6640625" defaultRowHeight="15"/>
  <cols>
    <col min="1" max="1" width="4" customWidth="1"/>
    <col min="2" max="2" width="18" customWidth="1"/>
    <col min="3" max="3" width="12" customWidth="1"/>
    <col min="4" max="4" width="42" customWidth="1"/>
    <col min="5" max="5" width="8" customWidth="1"/>
    <col min="6" max="7" width="7" customWidth="1"/>
    <col min="8" max="8" width="8" customWidth="1"/>
    <col min="9" max="9" width="25" customWidth="1"/>
  </cols>
  <sheetData>
    <row r="1" spans="1:9" ht="31.5" customHeight="1">
      <c r="A1" s="19" t="s">
        <v>48</v>
      </c>
      <c r="B1" s="20" t="s">
        <v>124</v>
      </c>
      <c r="C1" s="20" t="s">
        <v>277</v>
      </c>
      <c r="D1" s="20" t="s">
        <v>278</v>
      </c>
      <c r="E1" s="20" t="s">
        <v>52</v>
      </c>
      <c r="F1" s="19" t="s">
        <v>279</v>
      </c>
      <c r="G1" s="19" t="s">
        <v>280</v>
      </c>
      <c r="H1" s="20" t="s">
        <v>55</v>
      </c>
      <c r="I1" s="20" t="s">
        <v>56</v>
      </c>
    </row>
    <row r="2" spans="1:9">
      <c r="A2" s="90" t="s">
        <v>281</v>
      </c>
      <c r="B2" s="90"/>
      <c r="C2" s="90"/>
      <c r="D2" s="90"/>
      <c r="E2" s="90"/>
      <c r="F2" s="90"/>
      <c r="G2" s="90"/>
      <c r="H2" s="90"/>
      <c r="I2" s="90"/>
    </row>
    <row r="3" spans="1:9" ht="21.75" customHeight="1">
      <c r="A3" s="21">
        <v>1</v>
      </c>
      <c r="B3" s="42" t="s">
        <v>282</v>
      </c>
      <c r="C3" s="22" t="s">
        <v>58</v>
      </c>
      <c r="D3" s="24" t="s">
        <v>283</v>
      </c>
      <c r="E3" s="25" t="s">
        <v>61</v>
      </c>
      <c r="F3" s="39"/>
      <c r="G3" s="39"/>
      <c r="H3" s="28" t="s">
        <v>63</v>
      </c>
      <c r="I3" s="23"/>
    </row>
    <row r="4" spans="1:9" ht="21.75" customHeight="1">
      <c r="A4" s="29">
        <v>2</v>
      </c>
      <c r="B4" s="42" t="s">
        <v>282</v>
      </c>
      <c r="C4" s="22" t="s">
        <v>58</v>
      </c>
      <c r="D4" s="30" t="s">
        <v>284</v>
      </c>
      <c r="E4" s="25" t="s">
        <v>61</v>
      </c>
      <c r="F4" s="40"/>
      <c r="G4" s="40"/>
      <c r="H4" s="28" t="s">
        <v>63</v>
      </c>
      <c r="I4" s="30"/>
    </row>
    <row r="5" spans="1:9" ht="21.75" customHeight="1">
      <c r="A5" s="21">
        <v>3</v>
      </c>
      <c r="B5" s="42" t="s">
        <v>282</v>
      </c>
      <c r="C5" s="22" t="s">
        <v>58</v>
      </c>
      <c r="D5" s="23" t="s">
        <v>285</v>
      </c>
      <c r="E5" s="32" t="s">
        <v>72</v>
      </c>
      <c r="F5" s="39"/>
      <c r="G5" s="39"/>
      <c r="H5" s="28" t="s">
        <v>63</v>
      </c>
      <c r="I5" s="23"/>
    </row>
    <row r="6" spans="1:9" ht="21.75" customHeight="1">
      <c r="A6" s="29">
        <v>4</v>
      </c>
      <c r="B6" s="42" t="s">
        <v>282</v>
      </c>
      <c r="C6" s="50" t="s">
        <v>286</v>
      </c>
      <c r="D6" s="30" t="s">
        <v>287</v>
      </c>
      <c r="E6" s="25" t="s">
        <v>61</v>
      </c>
      <c r="F6" s="40"/>
      <c r="G6" s="40"/>
      <c r="H6" s="28" t="s">
        <v>63</v>
      </c>
      <c r="I6" s="30"/>
    </row>
    <row r="7" spans="1:9" ht="21.75" customHeight="1">
      <c r="A7" s="21">
        <v>5</v>
      </c>
      <c r="B7" s="42" t="s">
        <v>282</v>
      </c>
      <c r="C7" s="50" t="s">
        <v>286</v>
      </c>
      <c r="D7" s="24" t="s">
        <v>288</v>
      </c>
      <c r="E7" s="25" t="s">
        <v>61</v>
      </c>
      <c r="F7" s="39"/>
      <c r="G7" s="51" t="s">
        <v>75</v>
      </c>
      <c r="H7" s="28" t="s">
        <v>63</v>
      </c>
      <c r="I7" s="23"/>
    </row>
    <row r="8" spans="1:9" ht="21.75" customHeight="1">
      <c r="A8" s="29">
        <v>6</v>
      </c>
      <c r="B8" s="42" t="s">
        <v>282</v>
      </c>
      <c r="C8" s="50" t="s">
        <v>286</v>
      </c>
      <c r="D8" s="34" t="s">
        <v>289</v>
      </c>
      <c r="E8" s="25" t="s">
        <v>61</v>
      </c>
      <c r="F8" s="40"/>
      <c r="G8" s="40"/>
      <c r="H8" s="28" t="s">
        <v>63</v>
      </c>
      <c r="I8" s="30"/>
    </row>
    <row r="9" spans="1:9" ht="21.75" customHeight="1">
      <c r="A9" s="21">
        <v>7</v>
      </c>
      <c r="B9" s="42" t="s">
        <v>282</v>
      </c>
      <c r="C9" s="52" t="s">
        <v>290</v>
      </c>
      <c r="D9" s="23" t="s">
        <v>291</v>
      </c>
      <c r="E9" s="25" t="s">
        <v>61</v>
      </c>
      <c r="F9" s="39"/>
      <c r="G9" s="51" t="s">
        <v>75</v>
      </c>
      <c r="H9" s="28" t="s">
        <v>63</v>
      </c>
      <c r="I9" s="23"/>
    </row>
    <row r="10" spans="1:9" ht="21.75" customHeight="1">
      <c r="A10" s="29">
        <v>8</v>
      </c>
      <c r="B10" s="42" t="s">
        <v>282</v>
      </c>
      <c r="C10" s="52" t="s">
        <v>290</v>
      </c>
      <c r="D10" s="34" t="s">
        <v>292</v>
      </c>
      <c r="E10" s="32" t="s">
        <v>72</v>
      </c>
      <c r="F10" s="40"/>
      <c r="G10" s="40"/>
      <c r="H10" s="28" t="s">
        <v>63</v>
      </c>
      <c r="I10" s="30"/>
    </row>
    <row r="11" spans="1:9" ht="21.75" customHeight="1">
      <c r="A11" s="21">
        <v>9</v>
      </c>
      <c r="B11" s="44" t="s">
        <v>293</v>
      </c>
      <c r="C11" s="22" t="s">
        <v>58</v>
      </c>
      <c r="D11" s="24" t="s">
        <v>294</v>
      </c>
      <c r="E11" s="32" t="s">
        <v>72</v>
      </c>
      <c r="F11" s="39"/>
      <c r="G11" s="39"/>
      <c r="H11" s="28" t="s">
        <v>63</v>
      </c>
      <c r="I11" s="23"/>
    </row>
    <row r="12" spans="1:9" ht="21.75" customHeight="1">
      <c r="A12" s="29">
        <v>10</v>
      </c>
      <c r="B12" s="44" t="s">
        <v>293</v>
      </c>
      <c r="C12" s="22" t="s">
        <v>58</v>
      </c>
      <c r="D12" s="30" t="s">
        <v>295</v>
      </c>
      <c r="E12" s="32" t="s">
        <v>72</v>
      </c>
      <c r="F12" s="40"/>
      <c r="G12" s="40"/>
      <c r="H12" s="28" t="s">
        <v>63</v>
      </c>
      <c r="I12" s="30"/>
    </row>
    <row r="13" spans="1:9" ht="21.75" customHeight="1">
      <c r="A13" s="21">
        <v>11</v>
      </c>
      <c r="B13" s="44" t="s">
        <v>293</v>
      </c>
      <c r="C13" s="35" t="s">
        <v>296</v>
      </c>
      <c r="D13" s="24" t="s">
        <v>297</v>
      </c>
      <c r="E13" s="25" t="s">
        <v>61</v>
      </c>
      <c r="F13" s="39"/>
      <c r="G13" s="39"/>
      <c r="H13" s="28" t="s">
        <v>63</v>
      </c>
      <c r="I13" s="23"/>
    </row>
    <row r="14" spans="1:9" ht="21.75" customHeight="1">
      <c r="A14" s="29">
        <v>12</v>
      </c>
      <c r="B14" s="44" t="s">
        <v>293</v>
      </c>
      <c r="C14" s="35" t="s">
        <v>296</v>
      </c>
      <c r="D14" s="30" t="s">
        <v>298</v>
      </c>
      <c r="E14" s="25" t="s">
        <v>61</v>
      </c>
      <c r="F14" s="40"/>
      <c r="G14" s="51" t="s">
        <v>75</v>
      </c>
      <c r="H14" s="28" t="s">
        <v>63</v>
      </c>
      <c r="I14" s="30"/>
    </row>
    <row r="15" spans="1:9" ht="21.75" customHeight="1">
      <c r="A15" s="21">
        <v>13</v>
      </c>
      <c r="B15" s="44" t="s">
        <v>293</v>
      </c>
      <c r="C15" s="50" t="s">
        <v>286</v>
      </c>
      <c r="D15" s="24" t="s">
        <v>299</v>
      </c>
      <c r="E15" s="25" t="s">
        <v>61</v>
      </c>
      <c r="F15" s="39"/>
      <c r="G15" s="39"/>
      <c r="H15" s="28" t="s">
        <v>63</v>
      </c>
      <c r="I15" s="23"/>
    </row>
    <row r="16" spans="1:9" ht="21.75" customHeight="1">
      <c r="A16" s="29">
        <v>14</v>
      </c>
      <c r="B16" s="44" t="s">
        <v>293</v>
      </c>
      <c r="C16" s="50" t="s">
        <v>286</v>
      </c>
      <c r="D16" s="34" t="s">
        <v>300</v>
      </c>
      <c r="E16" s="25" t="s">
        <v>61</v>
      </c>
      <c r="F16" s="40"/>
      <c r="G16" s="40"/>
      <c r="H16" s="28" t="s">
        <v>63</v>
      </c>
      <c r="I16" s="30"/>
    </row>
    <row r="17" spans="1:9" ht="21.75" customHeight="1">
      <c r="A17" s="21">
        <v>15</v>
      </c>
      <c r="B17" s="44" t="s">
        <v>293</v>
      </c>
      <c r="C17" s="52" t="s">
        <v>290</v>
      </c>
      <c r="D17" s="24" t="s">
        <v>301</v>
      </c>
      <c r="E17" s="25" t="s">
        <v>61</v>
      </c>
      <c r="F17" s="41" t="s">
        <v>62</v>
      </c>
      <c r="G17" s="39"/>
      <c r="H17" s="28" t="s">
        <v>63</v>
      </c>
      <c r="I17" s="23"/>
    </row>
    <row r="18" spans="1:9" ht="21.75" customHeight="1">
      <c r="A18" s="29">
        <v>16</v>
      </c>
      <c r="B18" s="45" t="s">
        <v>302</v>
      </c>
      <c r="C18" s="22" t="s">
        <v>58</v>
      </c>
      <c r="D18" s="34" t="s">
        <v>303</v>
      </c>
      <c r="E18" s="32" t="s">
        <v>72</v>
      </c>
      <c r="F18" s="40"/>
      <c r="G18" s="40"/>
      <c r="H18" s="28" t="s">
        <v>63</v>
      </c>
      <c r="I18" s="30"/>
    </row>
    <row r="19" spans="1:9" ht="21.75" customHeight="1">
      <c r="A19" s="21">
        <v>17</v>
      </c>
      <c r="B19" s="45" t="s">
        <v>302</v>
      </c>
      <c r="C19" s="22" t="s">
        <v>58</v>
      </c>
      <c r="D19" s="23" t="s">
        <v>304</v>
      </c>
      <c r="E19" s="32" t="s">
        <v>72</v>
      </c>
      <c r="F19" s="39"/>
      <c r="G19" s="39"/>
      <c r="H19" s="28" t="s">
        <v>63</v>
      </c>
      <c r="I19" s="23"/>
    </row>
    <row r="20" spans="1:9" ht="21.75" customHeight="1">
      <c r="A20" s="29">
        <v>18</v>
      </c>
      <c r="B20" s="45" t="s">
        <v>302</v>
      </c>
      <c r="C20" s="35" t="s">
        <v>296</v>
      </c>
      <c r="D20" s="34" t="s">
        <v>305</v>
      </c>
      <c r="E20" s="25" t="s">
        <v>61</v>
      </c>
      <c r="F20" s="40"/>
      <c r="G20" s="51" t="s">
        <v>75</v>
      </c>
      <c r="H20" s="28" t="s">
        <v>63</v>
      </c>
      <c r="I20" s="30"/>
    </row>
    <row r="21" spans="1:9" ht="21.75" customHeight="1">
      <c r="A21" s="21">
        <v>19</v>
      </c>
      <c r="B21" s="45" t="s">
        <v>302</v>
      </c>
      <c r="C21" s="35" t="s">
        <v>296</v>
      </c>
      <c r="D21" s="23" t="s">
        <v>306</v>
      </c>
      <c r="E21" s="25" t="s">
        <v>61</v>
      </c>
      <c r="F21" s="39"/>
      <c r="G21" s="51" t="s">
        <v>75</v>
      </c>
      <c r="H21" s="28" t="s">
        <v>63</v>
      </c>
      <c r="I21" s="23"/>
    </row>
    <row r="22" spans="1:9" ht="21.75" customHeight="1">
      <c r="A22" s="29">
        <v>20</v>
      </c>
      <c r="B22" s="45" t="s">
        <v>302</v>
      </c>
      <c r="C22" s="50" t="s">
        <v>286</v>
      </c>
      <c r="D22" s="34" t="s">
        <v>307</v>
      </c>
      <c r="E22" s="25" t="s">
        <v>61</v>
      </c>
      <c r="F22" s="40"/>
      <c r="G22" s="40"/>
      <c r="H22" s="28" t="s">
        <v>63</v>
      </c>
      <c r="I22" s="30"/>
    </row>
    <row r="23" spans="1:9" ht="21.75" customHeight="1">
      <c r="A23" s="21">
        <v>21</v>
      </c>
      <c r="B23" s="45" t="s">
        <v>302</v>
      </c>
      <c r="C23" s="50" t="s">
        <v>286</v>
      </c>
      <c r="D23" s="23" t="s">
        <v>308</v>
      </c>
      <c r="E23" s="32" t="s">
        <v>72</v>
      </c>
      <c r="F23" s="39"/>
      <c r="G23" s="39"/>
      <c r="H23" s="28" t="s">
        <v>63</v>
      </c>
      <c r="I23" s="23"/>
    </row>
    <row r="24" spans="1:9" ht="21.75" customHeight="1">
      <c r="A24" s="29">
        <v>22</v>
      </c>
      <c r="B24" s="45" t="s">
        <v>302</v>
      </c>
      <c r="C24" s="52" t="s">
        <v>290</v>
      </c>
      <c r="D24" s="30" t="s">
        <v>309</v>
      </c>
      <c r="E24" s="25" t="s">
        <v>61</v>
      </c>
      <c r="F24" s="40"/>
      <c r="G24" s="51" t="s">
        <v>75</v>
      </c>
      <c r="H24" s="28" t="s">
        <v>63</v>
      </c>
      <c r="I24" s="30"/>
    </row>
    <row r="25" spans="1:9" ht="21.75" customHeight="1">
      <c r="A25" s="21">
        <v>23</v>
      </c>
      <c r="B25" s="43" t="s">
        <v>310</v>
      </c>
      <c r="C25" s="22" t="s">
        <v>58</v>
      </c>
      <c r="D25" s="24" t="s">
        <v>311</v>
      </c>
      <c r="E25" s="25" t="s">
        <v>61</v>
      </c>
      <c r="F25" s="39"/>
      <c r="G25" s="39"/>
      <c r="H25" s="28" t="s">
        <v>63</v>
      </c>
      <c r="I25" s="23"/>
    </row>
    <row r="26" spans="1:9" ht="21.75" customHeight="1">
      <c r="A26" s="29">
        <v>24</v>
      </c>
      <c r="B26" s="43" t="s">
        <v>310</v>
      </c>
      <c r="C26" s="22" t="s">
        <v>58</v>
      </c>
      <c r="D26" s="34" t="s">
        <v>312</v>
      </c>
      <c r="E26" s="32" t="s">
        <v>72</v>
      </c>
      <c r="F26" s="40"/>
      <c r="G26" s="40"/>
      <c r="H26" s="28" t="s">
        <v>63</v>
      </c>
      <c r="I26" s="30"/>
    </row>
    <row r="27" spans="1:9" ht="21.75" customHeight="1">
      <c r="A27" s="21">
        <v>25</v>
      </c>
      <c r="B27" s="43" t="s">
        <v>310</v>
      </c>
      <c r="C27" s="35" t="s">
        <v>296</v>
      </c>
      <c r="D27" s="24" t="s">
        <v>313</v>
      </c>
      <c r="E27" s="25" t="s">
        <v>61</v>
      </c>
      <c r="F27" s="39"/>
      <c r="G27" s="39"/>
      <c r="H27" s="28" t="s">
        <v>63</v>
      </c>
      <c r="I27" s="23"/>
    </row>
    <row r="28" spans="1:9" ht="21.75" customHeight="1">
      <c r="A28" s="29">
        <v>26</v>
      </c>
      <c r="B28" s="43" t="s">
        <v>310</v>
      </c>
      <c r="C28" s="35" t="s">
        <v>296</v>
      </c>
      <c r="D28" s="30" t="s">
        <v>314</v>
      </c>
      <c r="E28" s="25" t="s">
        <v>61</v>
      </c>
      <c r="F28" s="41" t="s">
        <v>315</v>
      </c>
      <c r="G28" s="51" t="s">
        <v>75</v>
      </c>
      <c r="H28" s="28" t="s">
        <v>63</v>
      </c>
      <c r="I28" s="30"/>
    </row>
    <row r="29" spans="1:9" ht="21.75" customHeight="1">
      <c r="A29" s="21">
        <v>27</v>
      </c>
      <c r="B29" s="43" t="s">
        <v>310</v>
      </c>
      <c r="C29" s="50" t="s">
        <v>286</v>
      </c>
      <c r="D29" s="24" t="s">
        <v>316</v>
      </c>
      <c r="E29" s="25" t="s">
        <v>61</v>
      </c>
      <c r="F29" s="39"/>
      <c r="G29" s="39"/>
      <c r="H29" s="28" t="s">
        <v>63</v>
      </c>
      <c r="I29" s="23"/>
    </row>
    <row r="30" spans="1:9" ht="21.75" customHeight="1">
      <c r="A30" s="29">
        <v>28</v>
      </c>
      <c r="B30" s="43" t="s">
        <v>310</v>
      </c>
      <c r="C30" s="50" t="s">
        <v>286</v>
      </c>
      <c r="D30" s="34" t="s">
        <v>317</v>
      </c>
      <c r="E30" s="32" t="s">
        <v>72</v>
      </c>
      <c r="F30" s="40"/>
      <c r="G30" s="40"/>
      <c r="H30" s="28" t="s">
        <v>63</v>
      </c>
      <c r="I30" s="30"/>
    </row>
    <row r="31" spans="1:9" ht="21.75" customHeight="1">
      <c r="A31" s="21">
        <v>29</v>
      </c>
      <c r="B31" s="43" t="s">
        <v>310</v>
      </c>
      <c r="C31" s="52" t="s">
        <v>290</v>
      </c>
      <c r="D31" s="24" t="s">
        <v>318</v>
      </c>
      <c r="E31" s="32" t="s">
        <v>72</v>
      </c>
      <c r="F31" s="39"/>
      <c r="G31" s="51" t="s">
        <v>75</v>
      </c>
      <c r="H31" s="28" t="s">
        <v>63</v>
      </c>
      <c r="I31" s="23"/>
    </row>
    <row r="32" spans="1:9" ht="21.75" customHeight="1">
      <c r="A32" s="29">
        <v>30</v>
      </c>
      <c r="B32" s="38" t="s">
        <v>167</v>
      </c>
      <c r="C32" s="22" t="s">
        <v>58</v>
      </c>
      <c r="D32" s="34" t="s">
        <v>319</v>
      </c>
      <c r="E32" s="25" t="s">
        <v>61</v>
      </c>
      <c r="F32" s="40"/>
      <c r="G32" s="40"/>
      <c r="H32" s="28" t="s">
        <v>63</v>
      </c>
      <c r="I32" s="30"/>
    </row>
    <row r="33" spans="1:9" ht="21.75" customHeight="1">
      <c r="A33" s="21">
        <v>31</v>
      </c>
      <c r="B33" s="38" t="s">
        <v>167</v>
      </c>
      <c r="C33" s="35" t="s">
        <v>296</v>
      </c>
      <c r="D33" s="23" t="s">
        <v>320</v>
      </c>
      <c r="E33" s="25" t="s">
        <v>61</v>
      </c>
      <c r="F33" s="39"/>
      <c r="G33" s="51" t="s">
        <v>75</v>
      </c>
      <c r="H33" s="28" t="s">
        <v>63</v>
      </c>
      <c r="I33" s="23"/>
    </row>
    <row r="34" spans="1:9" ht="21.75" customHeight="1">
      <c r="A34" s="29">
        <v>32</v>
      </c>
      <c r="B34" s="38" t="s">
        <v>167</v>
      </c>
      <c r="C34" s="50" t="s">
        <v>286</v>
      </c>
      <c r="D34" s="34" t="s">
        <v>321</v>
      </c>
      <c r="E34" s="25" t="s">
        <v>61</v>
      </c>
      <c r="F34" s="41" t="s">
        <v>322</v>
      </c>
      <c r="G34" s="40"/>
      <c r="H34" s="28" t="s">
        <v>63</v>
      </c>
      <c r="I34" s="30"/>
    </row>
    <row r="35" spans="1:9" ht="21.75" customHeight="1">
      <c r="A35" s="21">
        <v>33</v>
      </c>
      <c r="B35" s="38" t="s">
        <v>167</v>
      </c>
      <c r="C35" s="52" t="s">
        <v>290</v>
      </c>
      <c r="D35" s="24" t="s">
        <v>323</v>
      </c>
      <c r="E35" s="25" t="s">
        <v>61</v>
      </c>
      <c r="F35" s="41" t="s">
        <v>62</v>
      </c>
      <c r="G35" s="51" t="s">
        <v>75</v>
      </c>
      <c r="H35" s="28" t="s">
        <v>63</v>
      </c>
      <c r="I35" s="23"/>
    </row>
    <row r="36" spans="1:9" ht="21.75" customHeight="1">
      <c r="A36" s="29">
        <v>34</v>
      </c>
      <c r="B36" s="42" t="s">
        <v>324</v>
      </c>
      <c r="C36" s="22" t="s">
        <v>58</v>
      </c>
      <c r="D36" s="34" t="s">
        <v>325</v>
      </c>
      <c r="E36" s="32" t="s">
        <v>72</v>
      </c>
      <c r="F36" s="40"/>
      <c r="G36" s="40"/>
      <c r="H36" s="28" t="s">
        <v>63</v>
      </c>
      <c r="I36" s="30"/>
    </row>
    <row r="37" spans="1:9" ht="21.75" customHeight="1">
      <c r="A37" s="21">
        <v>35</v>
      </c>
      <c r="B37" s="42" t="s">
        <v>324</v>
      </c>
      <c r="C37" s="22" t="s">
        <v>58</v>
      </c>
      <c r="D37" s="24" t="s">
        <v>326</v>
      </c>
      <c r="E37" s="32" t="s">
        <v>72</v>
      </c>
      <c r="F37" s="39"/>
      <c r="G37" s="39"/>
      <c r="H37" s="28" t="s">
        <v>63</v>
      </c>
      <c r="I37" s="23"/>
    </row>
    <row r="38" spans="1:9" ht="21.75" customHeight="1">
      <c r="A38" s="29">
        <v>36</v>
      </c>
      <c r="B38" s="42" t="s">
        <v>324</v>
      </c>
      <c r="C38" s="50" t="s">
        <v>286</v>
      </c>
      <c r="D38" s="34" t="s">
        <v>327</v>
      </c>
      <c r="E38" s="25" t="s">
        <v>61</v>
      </c>
      <c r="F38" s="40"/>
      <c r="G38" s="40"/>
      <c r="H38" s="28" t="s">
        <v>63</v>
      </c>
      <c r="I38" s="30"/>
    </row>
    <row r="39" spans="1:9" ht="21.75" customHeight="1">
      <c r="A39" s="21">
        <v>37</v>
      </c>
      <c r="B39" s="42" t="s">
        <v>324</v>
      </c>
      <c r="C39" s="50" t="s">
        <v>286</v>
      </c>
      <c r="D39" s="24" t="s">
        <v>328</v>
      </c>
      <c r="E39" s="32" t="s">
        <v>72</v>
      </c>
      <c r="F39" s="39"/>
      <c r="G39" s="39"/>
      <c r="H39" s="28" t="s">
        <v>63</v>
      </c>
      <c r="I39" s="23"/>
    </row>
    <row r="40" spans="1:9" ht="21.75" customHeight="1">
      <c r="A40" s="29">
        <v>38</v>
      </c>
      <c r="B40" s="42" t="s">
        <v>324</v>
      </c>
      <c r="C40" s="52" t="s">
        <v>290</v>
      </c>
      <c r="D40" s="30" t="s">
        <v>329</v>
      </c>
      <c r="E40" s="25" t="s">
        <v>61</v>
      </c>
      <c r="F40" s="41" t="s">
        <v>62</v>
      </c>
      <c r="G40" s="51" t="s">
        <v>75</v>
      </c>
      <c r="H40" s="28" t="s">
        <v>63</v>
      </c>
      <c r="I40" s="30"/>
    </row>
    <row r="41" spans="1:9" ht="21.75" customHeight="1">
      <c r="A41" s="21">
        <v>39</v>
      </c>
      <c r="B41" s="44" t="s">
        <v>330</v>
      </c>
      <c r="C41" s="22" t="s">
        <v>58</v>
      </c>
      <c r="D41" s="23" t="s">
        <v>331</v>
      </c>
      <c r="E41" s="32" t="s">
        <v>72</v>
      </c>
      <c r="F41" s="39"/>
      <c r="G41" s="51" t="s">
        <v>75</v>
      </c>
      <c r="H41" s="28" t="s">
        <v>63</v>
      </c>
      <c r="I41" s="23"/>
    </row>
    <row r="42" spans="1:9" ht="21.75" customHeight="1">
      <c r="A42" s="29">
        <v>40</v>
      </c>
      <c r="B42" s="44" t="s">
        <v>330</v>
      </c>
      <c r="C42" s="35" t="s">
        <v>296</v>
      </c>
      <c r="D42" s="30" t="s">
        <v>332</v>
      </c>
      <c r="E42" s="25" t="s">
        <v>61</v>
      </c>
      <c r="F42" s="41" t="s">
        <v>427</v>
      </c>
      <c r="G42" s="51" t="s">
        <v>75</v>
      </c>
      <c r="H42" s="28" t="s">
        <v>63</v>
      </c>
      <c r="I42" s="30"/>
    </row>
    <row r="43" spans="1:9" ht="21.75" customHeight="1">
      <c r="A43" s="21">
        <v>41</v>
      </c>
      <c r="B43" s="44" t="s">
        <v>330</v>
      </c>
      <c r="C43" s="50" t="s">
        <v>286</v>
      </c>
      <c r="D43" s="24" t="s">
        <v>333</v>
      </c>
      <c r="E43" s="32" t="s">
        <v>72</v>
      </c>
      <c r="F43" s="39"/>
      <c r="G43" s="51" t="s">
        <v>75</v>
      </c>
      <c r="H43" s="28" t="s">
        <v>63</v>
      </c>
      <c r="I43" s="23"/>
    </row>
    <row r="44" spans="1:9" ht="21.75" customHeight="1">
      <c r="A44" s="29">
        <v>42</v>
      </c>
      <c r="B44" s="44" t="s">
        <v>330</v>
      </c>
      <c r="C44" s="52" t="s">
        <v>290</v>
      </c>
      <c r="D44" s="34" t="s">
        <v>334</v>
      </c>
      <c r="E44" s="25" t="s">
        <v>61</v>
      </c>
      <c r="F44" s="40"/>
      <c r="G44" s="51" t="s">
        <v>75</v>
      </c>
      <c r="H44" s="28" t="s">
        <v>63</v>
      </c>
      <c r="I44" s="30"/>
    </row>
  </sheetData>
  <mergeCells count="1">
    <mergeCell ref="A2:I2"/>
  </mergeCells>
  <phoneticPr fontId="32" type="noConversion"/>
  <dataValidations count="1">
    <dataValidation type="list" allowBlank="1" sqref="H3:H44" xr:uid="{00000000-0002-0000-0400-000000000000}">
      <formula1>"PASS,FAIL,WARN,N/A,-"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28"/>
  <sheetViews>
    <sheetView showGridLines="0" topLeftCell="A5" zoomScale="140" zoomScaleNormal="140" workbookViewId="0">
      <selection activeCell="D16" sqref="D16"/>
    </sheetView>
  </sheetViews>
  <sheetFormatPr baseColWidth="10" defaultColWidth="8.6640625" defaultRowHeight="15"/>
  <cols>
    <col min="1" max="1" width="4" customWidth="1"/>
    <col min="2" max="2" width="15" customWidth="1"/>
    <col min="3" max="3" width="35" customWidth="1"/>
    <col min="4" max="4" width="55" customWidth="1"/>
    <col min="5" max="5" width="8" customWidth="1"/>
    <col min="6" max="7" width="12" customWidth="1"/>
  </cols>
  <sheetData>
    <row r="1" spans="1:7" ht="31.5" customHeight="1">
      <c r="A1" s="19" t="s">
        <v>48</v>
      </c>
      <c r="B1" s="20" t="s">
        <v>335</v>
      </c>
      <c r="C1" s="20" t="s">
        <v>336</v>
      </c>
      <c r="D1" s="20" t="s">
        <v>337</v>
      </c>
      <c r="E1" s="20" t="s">
        <v>52</v>
      </c>
      <c r="F1" s="20" t="s">
        <v>338</v>
      </c>
      <c r="G1" s="20" t="s">
        <v>339</v>
      </c>
    </row>
    <row r="2" spans="1:7">
      <c r="A2" s="90" t="s">
        <v>340</v>
      </c>
      <c r="B2" s="90"/>
      <c r="C2" s="90"/>
      <c r="D2" s="90"/>
      <c r="E2" s="90"/>
      <c r="F2" s="90"/>
      <c r="G2" s="90"/>
    </row>
    <row r="3" spans="1:7" ht="24" customHeight="1">
      <c r="A3" s="21">
        <v>1</v>
      </c>
      <c r="B3" s="53" t="s">
        <v>341</v>
      </c>
      <c r="C3" s="54" t="s">
        <v>342</v>
      </c>
      <c r="D3" s="23" t="s">
        <v>343</v>
      </c>
      <c r="E3" s="25" t="s">
        <v>61</v>
      </c>
      <c r="F3" s="53" t="s">
        <v>344</v>
      </c>
      <c r="G3" s="55" t="s">
        <v>345</v>
      </c>
    </row>
    <row r="4" spans="1:7" ht="24" customHeight="1">
      <c r="A4" s="29">
        <v>2</v>
      </c>
      <c r="B4" s="53" t="s">
        <v>341</v>
      </c>
      <c r="C4" s="56" t="s">
        <v>346</v>
      </c>
      <c r="D4" s="30" t="s">
        <v>347</v>
      </c>
      <c r="E4" s="25" t="s">
        <v>61</v>
      </c>
      <c r="F4" s="53" t="s">
        <v>344</v>
      </c>
      <c r="G4" s="55" t="s">
        <v>345</v>
      </c>
    </row>
    <row r="5" spans="1:7" ht="24" customHeight="1">
      <c r="A5" s="21">
        <v>3</v>
      </c>
      <c r="B5" s="53" t="s">
        <v>341</v>
      </c>
      <c r="C5" s="54" t="s">
        <v>348</v>
      </c>
      <c r="D5" s="23" t="s">
        <v>349</v>
      </c>
      <c r="E5" s="32" t="s">
        <v>72</v>
      </c>
      <c r="F5" s="53" t="s">
        <v>344</v>
      </c>
      <c r="G5" s="55" t="s">
        <v>345</v>
      </c>
    </row>
    <row r="6" spans="1:7" ht="24" customHeight="1">
      <c r="A6" s="29">
        <v>4</v>
      </c>
      <c r="B6" s="53" t="s">
        <v>341</v>
      </c>
      <c r="C6" s="56" t="s">
        <v>350</v>
      </c>
      <c r="D6" s="30" t="s">
        <v>351</v>
      </c>
      <c r="E6" s="25" t="s">
        <v>61</v>
      </c>
      <c r="F6" s="53" t="s">
        <v>344</v>
      </c>
      <c r="G6" s="55" t="s">
        <v>345</v>
      </c>
    </row>
    <row r="7" spans="1:7" ht="24" customHeight="1">
      <c r="A7" s="21">
        <v>5</v>
      </c>
      <c r="B7" s="53" t="s">
        <v>341</v>
      </c>
      <c r="C7" s="54" t="s">
        <v>352</v>
      </c>
      <c r="D7" s="23" t="s">
        <v>353</v>
      </c>
      <c r="E7" s="32" t="s">
        <v>72</v>
      </c>
      <c r="F7" s="53" t="s">
        <v>344</v>
      </c>
      <c r="G7" s="55" t="s">
        <v>345</v>
      </c>
    </row>
    <row r="8" spans="1:7" ht="24" customHeight="1">
      <c r="A8" s="29">
        <v>6</v>
      </c>
      <c r="B8" s="53" t="s">
        <v>341</v>
      </c>
      <c r="C8" s="56" t="s">
        <v>354</v>
      </c>
      <c r="D8" s="30" t="s">
        <v>355</v>
      </c>
      <c r="E8" s="32" t="s">
        <v>72</v>
      </c>
      <c r="F8" s="53" t="s">
        <v>344</v>
      </c>
      <c r="G8" s="55" t="s">
        <v>345</v>
      </c>
    </row>
    <row r="9" spans="1:7" ht="24" customHeight="1">
      <c r="A9" s="21">
        <v>7</v>
      </c>
      <c r="B9" s="57" t="s">
        <v>54</v>
      </c>
      <c r="C9" s="54" t="s">
        <v>356</v>
      </c>
      <c r="D9" s="23" t="s">
        <v>357</v>
      </c>
      <c r="E9" s="25" t="s">
        <v>61</v>
      </c>
      <c r="F9" s="57" t="s">
        <v>358</v>
      </c>
      <c r="G9" s="55" t="s">
        <v>345</v>
      </c>
    </row>
    <row r="10" spans="1:7" ht="24" customHeight="1">
      <c r="A10" s="29">
        <v>8</v>
      </c>
      <c r="B10" s="57" t="s">
        <v>54</v>
      </c>
      <c r="C10" s="56" t="s">
        <v>359</v>
      </c>
      <c r="D10" s="30" t="s">
        <v>360</v>
      </c>
      <c r="E10" s="25" t="s">
        <v>61</v>
      </c>
      <c r="F10" s="57" t="s">
        <v>358</v>
      </c>
      <c r="G10" s="55" t="s">
        <v>345</v>
      </c>
    </row>
    <row r="11" spans="1:7" ht="24" customHeight="1">
      <c r="A11" s="21">
        <v>9</v>
      </c>
      <c r="B11" s="57" t="s">
        <v>54</v>
      </c>
      <c r="C11" s="54" t="s">
        <v>361</v>
      </c>
      <c r="D11" s="23" t="s">
        <v>362</v>
      </c>
      <c r="E11" s="32" t="s">
        <v>72</v>
      </c>
      <c r="F11" s="57" t="s">
        <v>358</v>
      </c>
      <c r="G11" s="55" t="s">
        <v>345</v>
      </c>
    </row>
    <row r="12" spans="1:7" ht="24" customHeight="1">
      <c r="A12" s="29">
        <v>10</v>
      </c>
      <c r="B12" s="57" t="s">
        <v>54</v>
      </c>
      <c r="C12" s="58" t="s">
        <v>363</v>
      </c>
      <c r="D12" s="30" t="s">
        <v>364</v>
      </c>
      <c r="E12" s="25" t="s">
        <v>61</v>
      </c>
      <c r="F12" s="57" t="s">
        <v>358</v>
      </c>
      <c r="G12" s="55" t="s">
        <v>345</v>
      </c>
    </row>
    <row r="13" spans="1:7" ht="24" customHeight="1">
      <c r="A13" s="21">
        <v>11</v>
      </c>
      <c r="B13" s="57" t="s">
        <v>54</v>
      </c>
      <c r="C13" s="54" t="s">
        <v>365</v>
      </c>
      <c r="D13" s="23" t="s">
        <v>366</v>
      </c>
      <c r="E13" s="32" t="s">
        <v>72</v>
      </c>
      <c r="F13" s="57" t="s">
        <v>358</v>
      </c>
      <c r="G13" s="55" t="s">
        <v>345</v>
      </c>
    </row>
    <row r="14" spans="1:7" ht="24" customHeight="1">
      <c r="A14" s="29">
        <v>12</v>
      </c>
      <c r="B14" s="57" t="s">
        <v>54</v>
      </c>
      <c r="C14" s="56" t="s">
        <v>367</v>
      </c>
      <c r="D14" s="30" t="s">
        <v>368</v>
      </c>
      <c r="E14" s="25" t="s">
        <v>61</v>
      </c>
      <c r="F14" s="57" t="s">
        <v>358</v>
      </c>
      <c r="G14" s="55" t="s">
        <v>345</v>
      </c>
    </row>
    <row r="15" spans="1:7" ht="24" customHeight="1">
      <c r="A15" s="21">
        <v>13</v>
      </c>
      <c r="B15" s="57" t="s">
        <v>54</v>
      </c>
      <c r="C15" s="54" t="s">
        <v>369</v>
      </c>
      <c r="D15" s="23" t="s">
        <v>370</v>
      </c>
      <c r="E15" s="25" t="s">
        <v>61</v>
      </c>
      <c r="F15" s="57" t="s">
        <v>358</v>
      </c>
      <c r="G15" s="55" t="s">
        <v>345</v>
      </c>
    </row>
    <row r="16" spans="1:7" ht="24" customHeight="1">
      <c r="A16" s="29">
        <v>14</v>
      </c>
      <c r="B16" s="50" t="s">
        <v>371</v>
      </c>
      <c r="C16" s="56" t="s">
        <v>372</v>
      </c>
      <c r="D16" s="30" t="s">
        <v>373</v>
      </c>
      <c r="E16" s="25" t="s">
        <v>61</v>
      </c>
      <c r="F16" s="50" t="s">
        <v>371</v>
      </c>
      <c r="G16" s="55" t="s">
        <v>345</v>
      </c>
    </row>
    <row r="17" spans="1:7" ht="24" customHeight="1">
      <c r="A17" s="21">
        <v>15</v>
      </c>
      <c r="B17" s="50" t="s">
        <v>371</v>
      </c>
      <c r="C17" s="54" t="s">
        <v>374</v>
      </c>
      <c r="D17" s="23" t="s">
        <v>375</v>
      </c>
      <c r="E17" s="25" t="s">
        <v>61</v>
      </c>
      <c r="F17" s="50" t="s">
        <v>371</v>
      </c>
      <c r="G17" s="55" t="s">
        <v>345</v>
      </c>
    </row>
    <row r="18" spans="1:7" ht="24" customHeight="1">
      <c r="A18" s="29">
        <v>16</v>
      </c>
      <c r="B18" s="50" t="s">
        <v>371</v>
      </c>
      <c r="C18" s="56" t="s">
        <v>376</v>
      </c>
      <c r="D18" s="30" t="s">
        <v>377</v>
      </c>
      <c r="E18" s="25" t="s">
        <v>61</v>
      </c>
      <c r="F18" s="50" t="s">
        <v>371</v>
      </c>
      <c r="G18" s="55" t="s">
        <v>345</v>
      </c>
    </row>
    <row r="19" spans="1:7" ht="24" customHeight="1">
      <c r="A19" s="21">
        <v>17</v>
      </c>
      <c r="B19" s="50" t="s">
        <v>371</v>
      </c>
      <c r="C19" s="54" t="s">
        <v>378</v>
      </c>
      <c r="D19" s="24" t="s">
        <v>379</v>
      </c>
      <c r="E19" s="25" t="s">
        <v>61</v>
      </c>
      <c r="F19" s="50" t="s">
        <v>371</v>
      </c>
      <c r="G19" s="55" t="s">
        <v>345</v>
      </c>
    </row>
    <row r="20" spans="1:7" ht="24" customHeight="1">
      <c r="A20" s="29">
        <v>18</v>
      </c>
      <c r="B20" s="50" t="s">
        <v>371</v>
      </c>
      <c r="C20" s="56" t="s">
        <v>380</v>
      </c>
      <c r="D20" s="34" t="s">
        <v>381</v>
      </c>
      <c r="E20" s="32" t="s">
        <v>72</v>
      </c>
      <c r="F20" s="50" t="s">
        <v>371</v>
      </c>
      <c r="G20" s="55" t="s">
        <v>345</v>
      </c>
    </row>
    <row r="21" spans="1:7" ht="24" customHeight="1">
      <c r="A21" s="21">
        <v>19</v>
      </c>
      <c r="B21" s="50" t="s">
        <v>371</v>
      </c>
      <c r="C21" s="54" t="s">
        <v>382</v>
      </c>
      <c r="D21" s="24" t="s">
        <v>383</v>
      </c>
      <c r="E21" s="25" t="s">
        <v>61</v>
      </c>
      <c r="F21" s="50" t="s">
        <v>371</v>
      </c>
      <c r="G21" s="55" t="s">
        <v>345</v>
      </c>
    </row>
    <row r="22" spans="1:7" ht="24" customHeight="1">
      <c r="A22" s="29">
        <v>20</v>
      </c>
      <c r="B22" s="37" t="s">
        <v>117</v>
      </c>
      <c r="C22" s="56" t="s">
        <v>384</v>
      </c>
      <c r="D22" s="30" t="s">
        <v>385</v>
      </c>
      <c r="E22" s="25" t="s">
        <v>61</v>
      </c>
      <c r="F22" s="59" t="s">
        <v>117</v>
      </c>
      <c r="G22" s="55" t="s">
        <v>345</v>
      </c>
    </row>
    <row r="23" spans="1:7" ht="24" customHeight="1">
      <c r="A23" s="21">
        <v>21</v>
      </c>
      <c r="B23" s="37" t="s">
        <v>117</v>
      </c>
      <c r="C23" s="54" t="s">
        <v>386</v>
      </c>
      <c r="D23" s="23" t="s">
        <v>387</v>
      </c>
      <c r="E23" s="25" t="s">
        <v>61</v>
      </c>
      <c r="F23" s="53" t="s">
        <v>344</v>
      </c>
      <c r="G23" s="55" t="s">
        <v>345</v>
      </c>
    </row>
    <row r="24" spans="1:7" ht="24" customHeight="1">
      <c r="A24" s="29">
        <v>22</v>
      </c>
      <c r="B24" s="37" t="s">
        <v>117</v>
      </c>
      <c r="C24" s="56" t="s">
        <v>388</v>
      </c>
      <c r="D24" s="34" t="s">
        <v>389</v>
      </c>
      <c r="E24" s="32" t="s">
        <v>72</v>
      </c>
      <c r="F24" s="59" t="s">
        <v>117</v>
      </c>
      <c r="G24" s="55" t="s">
        <v>345</v>
      </c>
    </row>
    <row r="25" spans="1:7" ht="24" customHeight="1">
      <c r="A25" s="21">
        <v>23</v>
      </c>
      <c r="B25" s="37" t="s">
        <v>117</v>
      </c>
      <c r="C25" s="54" t="s">
        <v>390</v>
      </c>
      <c r="D25" s="23" t="s">
        <v>391</v>
      </c>
      <c r="E25" s="32" t="s">
        <v>72</v>
      </c>
      <c r="F25" s="57" t="s">
        <v>358</v>
      </c>
      <c r="G25" s="55" t="s">
        <v>345</v>
      </c>
    </row>
    <row r="26" spans="1:7" ht="24" customHeight="1">
      <c r="A26" s="29">
        <v>24</v>
      </c>
      <c r="B26" s="37" t="s">
        <v>117</v>
      </c>
      <c r="C26" s="56" t="s">
        <v>392</v>
      </c>
      <c r="D26" s="34" t="s">
        <v>393</v>
      </c>
      <c r="E26" s="25" t="s">
        <v>61</v>
      </c>
      <c r="F26" s="59" t="s">
        <v>117</v>
      </c>
      <c r="G26" s="55" t="s">
        <v>345</v>
      </c>
    </row>
    <row r="27" spans="1:7" ht="24" customHeight="1">
      <c r="A27" s="21">
        <v>25</v>
      </c>
      <c r="B27" s="37" t="s">
        <v>117</v>
      </c>
      <c r="C27" s="54" t="s">
        <v>394</v>
      </c>
      <c r="D27" s="24" t="s">
        <v>395</v>
      </c>
      <c r="E27" s="25" t="s">
        <v>61</v>
      </c>
      <c r="F27" s="59" t="s">
        <v>117</v>
      </c>
      <c r="G27" s="55" t="s">
        <v>345</v>
      </c>
    </row>
    <row r="28" spans="1:7" ht="24" customHeight="1">
      <c r="A28" s="29">
        <v>26</v>
      </c>
      <c r="B28" s="37" t="s">
        <v>117</v>
      </c>
      <c r="C28" s="58" t="s">
        <v>396</v>
      </c>
      <c r="D28" s="34" t="s">
        <v>397</v>
      </c>
      <c r="E28" s="32" t="s">
        <v>72</v>
      </c>
      <c r="F28" s="53" t="s">
        <v>344</v>
      </c>
      <c r="G28" s="55" t="s">
        <v>345</v>
      </c>
    </row>
  </sheetData>
  <mergeCells count="1">
    <mergeCell ref="A2:G2"/>
  </mergeCells>
  <phoneticPr fontId="32" type="noConversion"/>
  <dataValidations count="1">
    <dataValidation type="list" allowBlank="1" sqref="G3:G28" xr:uid="{00000000-0002-0000-0500-000000000000}">
      <formula1>"완료,진행중,미완료,N/A"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1:G22"/>
  <sheetViews>
    <sheetView showGridLines="0" topLeftCell="A26" zoomScale="150" zoomScaleNormal="150" workbookViewId="0"/>
  </sheetViews>
  <sheetFormatPr baseColWidth="10" defaultColWidth="8.6640625" defaultRowHeight="15"/>
  <cols>
    <col min="1" max="1" width="3" customWidth="1"/>
    <col min="2" max="2" width="30" customWidth="1"/>
    <col min="3" max="6" width="15" customWidth="1"/>
    <col min="7" max="7" width="20" customWidth="1"/>
  </cols>
  <sheetData>
    <row r="1" spans="2:7" ht="21.75" customHeight="1">
      <c r="B1" s="78" t="s">
        <v>398</v>
      </c>
      <c r="C1" s="78"/>
      <c r="D1" s="78"/>
      <c r="E1" s="78"/>
      <c r="F1" s="78"/>
      <c r="G1" s="78"/>
    </row>
    <row r="2" spans="2:7" ht="21.75" customHeight="1">
      <c r="B2" s="78"/>
      <c r="C2" s="78"/>
      <c r="D2" s="78"/>
      <c r="E2" s="78"/>
      <c r="F2" s="78"/>
      <c r="G2" s="78"/>
    </row>
    <row r="4" spans="2:7" ht="24" customHeight="1">
      <c r="B4" s="60" t="s">
        <v>49</v>
      </c>
      <c r="C4" s="60" t="s">
        <v>399</v>
      </c>
      <c r="D4" s="61" t="s">
        <v>23</v>
      </c>
      <c r="E4" s="61" t="s">
        <v>25</v>
      </c>
      <c r="F4" s="61" t="s">
        <v>27</v>
      </c>
      <c r="G4" s="60" t="s">
        <v>400</v>
      </c>
    </row>
    <row r="5" spans="2:7" ht="21.75" customHeight="1">
      <c r="B5" s="62" t="s">
        <v>401</v>
      </c>
      <c r="C5" s="21">
        <v>28</v>
      </c>
      <c r="D5" s="63">
        <f>COUNTIF('01_GG_Process'!H3:H200,"PASS")</f>
        <v>0</v>
      </c>
      <c r="E5" s="64">
        <f>COUNTIF('01_GG_Process'!H3:H200,"FAIL")</f>
        <v>0</v>
      </c>
      <c r="F5" s="65">
        <f>COUNTIF('01_GG_Process'!H3:H200,"WARN")</f>
        <v>0</v>
      </c>
      <c r="G5" s="66" t="str">
        <f>IF(E5&gt;0,"❌ FAIL",IF(F5&gt;0,"⚠️ WARN","✅ PASS"))</f>
        <v>✅ PASS</v>
      </c>
    </row>
    <row r="6" spans="2:7" ht="21.75" customHeight="1">
      <c r="B6" s="67" t="s">
        <v>402</v>
      </c>
      <c r="C6" s="29">
        <v>38</v>
      </c>
      <c r="D6" s="63">
        <f>COUNTIF('02_Static_Schema'!H3:H200,"PASS")</f>
        <v>0</v>
      </c>
      <c r="E6" s="64">
        <f>COUNTIF('02_Static_Schema'!H3:H200,"FAIL")</f>
        <v>0</v>
      </c>
      <c r="F6" s="65">
        <f>COUNTIF('02_Static_Schema'!H3:H200,"WARN")</f>
        <v>0</v>
      </c>
      <c r="G6" s="68" t="str">
        <f>IF(E6&gt;0,"❌ FAIL",IF(F6&gt;0,"⚠️ WARN","✅ PASS"))</f>
        <v>✅ PASS</v>
      </c>
    </row>
    <row r="7" spans="2:7" ht="21.75" customHeight="1">
      <c r="B7" s="69" t="s">
        <v>403</v>
      </c>
      <c r="C7" s="21">
        <v>27</v>
      </c>
      <c r="D7" s="63">
        <f>COUNTIF('03_Data_Validation'!H3:H198,"PASS")</f>
        <v>0</v>
      </c>
      <c r="E7" s="64">
        <f>COUNTIF('03_Data_Validation'!H3:H198,"FAIL")</f>
        <v>0</v>
      </c>
      <c r="F7" s="65">
        <f>COUNTIF('03_Data_Validation'!H3:H198,"WARN")</f>
        <v>0</v>
      </c>
      <c r="G7" s="66" t="str">
        <f>IF(E7&gt;0,"❌ FAIL",IF(F7&gt;0,"⚠️ WARN","✅ PASS"))</f>
        <v>✅ PASS</v>
      </c>
    </row>
    <row r="8" spans="2:7" ht="21.75" customHeight="1">
      <c r="B8" s="67" t="s">
        <v>404</v>
      </c>
      <c r="C8" s="29">
        <v>43</v>
      </c>
      <c r="D8" s="63">
        <f>COUNTIF('04_Special_Objects'!H3:H200,"PASS")</f>
        <v>0</v>
      </c>
      <c r="E8" s="64">
        <f>COUNTIF('04_Special_Objects'!H3:H200,"FAIL")</f>
        <v>0</v>
      </c>
      <c r="F8" s="65">
        <f>COUNTIF('04_Special_Objects'!H3:H200,"WARN")</f>
        <v>0</v>
      </c>
      <c r="G8" s="68" t="str">
        <f>IF(E8&gt;0,"❌ FAIL",IF(F8&gt;0,"⚠️ WARN","✅ PASS"))</f>
        <v>✅ PASS</v>
      </c>
    </row>
    <row r="9" spans="2:7" ht="24" customHeight="1">
      <c r="B9" s="70" t="s">
        <v>405</v>
      </c>
      <c r="C9" s="70">
        <f>SUM(C5:C8)</f>
        <v>136</v>
      </c>
      <c r="D9" s="71">
        <f>SUM(D5:D8)</f>
        <v>0</v>
      </c>
      <c r="E9" s="72">
        <f>SUM(E5:E8)</f>
        <v>0</v>
      </c>
      <c r="F9" s="73">
        <f>SUM(F5:F8)</f>
        <v>0</v>
      </c>
      <c r="G9" s="70" t="str">
        <f>IF(E9&gt;0,"❌ FAIL – 즉시 조치",IF(F9&gt;0,"⚠️ WARN – 검토 필요","✅ PASS – Go 승인"))</f>
        <v>✅ PASS – Go 승인</v>
      </c>
    </row>
    <row r="12" spans="2:7" ht="24" customHeight="1">
      <c r="B12" s="79" t="s">
        <v>406</v>
      </c>
      <c r="C12" s="79"/>
      <c r="D12" s="79"/>
      <c r="E12" s="79"/>
      <c r="F12" s="79"/>
      <c r="G12" s="79"/>
    </row>
    <row r="13" spans="2:7" ht="21.75" customHeight="1">
      <c r="B13" s="62" t="s">
        <v>407</v>
      </c>
      <c r="C13" s="74" t="s">
        <v>408</v>
      </c>
      <c r="D13" s="74"/>
      <c r="E13" s="74"/>
      <c r="F13" s="74"/>
      <c r="G13" s="25" t="s">
        <v>61</v>
      </c>
    </row>
    <row r="14" spans="2:7" ht="21.75" customHeight="1">
      <c r="B14" s="18" t="s">
        <v>409</v>
      </c>
      <c r="C14" s="76" t="s">
        <v>410</v>
      </c>
      <c r="D14" s="76"/>
      <c r="E14" s="76"/>
      <c r="F14" s="76"/>
      <c r="G14" s="25" t="s">
        <v>61</v>
      </c>
    </row>
    <row r="15" spans="2:7" ht="21.75" customHeight="1">
      <c r="B15" s="62" t="s">
        <v>411</v>
      </c>
      <c r="C15" s="74" t="s">
        <v>412</v>
      </c>
      <c r="D15" s="74"/>
      <c r="E15" s="74"/>
      <c r="F15" s="74"/>
      <c r="G15" s="25" t="s">
        <v>61</v>
      </c>
    </row>
    <row r="16" spans="2:7" ht="21.75" customHeight="1">
      <c r="B16" s="18" t="s">
        <v>413</v>
      </c>
      <c r="C16" s="76" t="s">
        <v>414</v>
      </c>
      <c r="D16" s="76"/>
      <c r="E16" s="76"/>
      <c r="F16" s="76"/>
      <c r="G16" s="25" t="s">
        <v>61</v>
      </c>
    </row>
    <row r="17" spans="2:7" ht="21.75" customHeight="1">
      <c r="B17" s="62" t="s">
        <v>415</v>
      </c>
      <c r="C17" s="77" t="s">
        <v>416</v>
      </c>
      <c r="D17" s="77"/>
      <c r="E17" s="77"/>
      <c r="F17" s="77"/>
      <c r="G17" s="25" t="s">
        <v>61</v>
      </c>
    </row>
    <row r="18" spans="2:7" ht="21.75" customHeight="1">
      <c r="B18" s="18" t="s">
        <v>417</v>
      </c>
      <c r="C18" s="75" t="s">
        <v>418</v>
      </c>
      <c r="D18" s="75"/>
      <c r="E18" s="75"/>
      <c r="F18" s="75"/>
      <c r="G18" s="25" t="s">
        <v>61</v>
      </c>
    </row>
    <row r="19" spans="2:7" ht="21.75" customHeight="1">
      <c r="B19" s="62" t="s">
        <v>419</v>
      </c>
      <c r="C19" s="77" t="s">
        <v>420</v>
      </c>
      <c r="D19" s="77"/>
      <c r="E19" s="77"/>
      <c r="F19" s="77"/>
      <c r="G19" s="32" t="s">
        <v>72</v>
      </c>
    </row>
    <row r="20" spans="2:7" ht="21.75" customHeight="1">
      <c r="B20" s="18" t="s">
        <v>421</v>
      </c>
      <c r="C20" s="76" t="s">
        <v>422</v>
      </c>
      <c r="D20" s="76"/>
      <c r="E20" s="76"/>
      <c r="F20" s="76"/>
      <c r="G20" s="32" t="s">
        <v>72</v>
      </c>
    </row>
    <row r="21" spans="2:7" ht="21.75" customHeight="1">
      <c r="B21" s="62" t="s">
        <v>423</v>
      </c>
      <c r="C21" s="74" t="s">
        <v>424</v>
      </c>
      <c r="D21" s="74"/>
      <c r="E21" s="74"/>
      <c r="F21" s="74"/>
      <c r="G21" s="32" t="s">
        <v>72</v>
      </c>
    </row>
    <row r="22" spans="2:7" ht="21.75" customHeight="1">
      <c r="B22" s="18" t="s">
        <v>425</v>
      </c>
      <c r="C22" s="75" t="s">
        <v>426</v>
      </c>
      <c r="D22" s="75"/>
      <c r="E22" s="75"/>
      <c r="F22" s="75"/>
      <c r="G22" s="25" t="s">
        <v>61</v>
      </c>
    </row>
  </sheetData>
  <mergeCells count="12">
    <mergeCell ref="B1:G2"/>
    <mergeCell ref="B12:G12"/>
    <mergeCell ref="C13:F13"/>
    <mergeCell ref="C14:F14"/>
    <mergeCell ref="C15:F15"/>
    <mergeCell ref="C21:F21"/>
    <mergeCell ref="C22:F22"/>
    <mergeCell ref="C16:F16"/>
    <mergeCell ref="C17:F17"/>
    <mergeCell ref="C18:F18"/>
    <mergeCell ref="C19:F19"/>
    <mergeCell ref="C20:F20"/>
  </mergeCells>
  <phoneticPr fontId="32" type="noConversion"/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7</vt:i4>
      </vt:variant>
    </vt:vector>
  </HeadingPairs>
  <TitlesOfParts>
    <vt:vector size="7" baseType="lpstr">
      <vt:lpstr>📋 Cover</vt:lpstr>
      <vt:lpstr>01_GG_Process</vt:lpstr>
      <vt:lpstr>02_Static_Schema</vt:lpstr>
      <vt:lpstr>03_Data_Validation</vt:lpstr>
      <vt:lpstr>04_Special_Objects</vt:lpstr>
      <vt:lpstr>05_Migration_Caution</vt:lpstr>
      <vt:lpstr>06_Result_Dashboard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이원용</cp:lastModifiedBy>
  <cp:revision>0</cp:revision>
  <dcterms:created xsi:type="dcterms:W3CDTF">2026-03-13T02:24:00Z</dcterms:created>
  <dcterms:modified xsi:type="dcterms:W3CDTF">2026-03-16T09:36:49Z</dcterms:modified>
  <dc:language>en-US</dc:language>
</cp:coreProperties>
</file>